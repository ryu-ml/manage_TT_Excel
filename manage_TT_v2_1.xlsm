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r-kato\Documents\研修02_マイコン\tmp\"/>
    </mc:Choice>
  </mc:AlternateContent>
  <bookViews>
    <workbookView xWindow="0" yWindow="0" windowWidth="18360" windowHeight="11280"/>
  </bookViews>
  <sheets>
    <sheet name="計画管理表" sheetId="1" r:id="rId1"/>
    <sheet name="作業リスト" sheetId="2" r:id="rId2"/>
    <sheet name="使用方法" sheetId="3" r:id="rId3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Q21" i="1" l="1"/>
  <c r="Q31" i="1"/>
  <c r="Q32" i="1"/>
  <c r="Q33" i="1"/>
  <c r="Q34" i="1"/>
  <c r="Q35" i="1"/>
  <c r="Q36" i="1"/>
  <c r="Q37" i="1"/>
  <c r="Q38" i="1"/>
  <c r="Q39" i="1"/>
  <c r="Q40" i="1"/>
  <c r="Q41" i="1"/>
  <c r="Q42" i="1"/>
  <c r="Q43" i="1"/>
  <c r="Q44" i="1"/>
  <c r="Q45" i="1"/>
  <c r="Q46" i="1"/>
  <c r="Q47" i="1"/>
  <c r="Q48" i="1"/>
  <c r="Q49" i="1"/>
  <c r="Q50" i="1"/>
  <c r="Q51" i="1"/>
  <c r="Q52" i="1"/>
  <c r="Q53" i="1"/>
  <c r="Q54" i="1"/>
  <c r="Q55" i="1"/>
  <c r="F13" i="1" l="1"/>
  <c r="F12" i="1" l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11" i="1"/>
  <c r="P12" i="1"/>
  <c r="P13" i="1"/>
  <c r="P14" i="1"/>
  <c r="Q14" i="1" s="1"/>
  <c r="P15" i="1"/>
  <c r="P16" i="1"/>
  <c r="P17" i="1"/>
  <c r="P18" i="1"/>
  <c r="Q18" i="1" s="1"/>
  <c r="P19" i="1"/>
  <c r="P20" i="1"/>
  <c r="P21" i="1"/>
  <c r="P22" i="1"/>
  <c r="Q22" i="1" s="1"/>
  <c r="P23" i="1"/>
  <c r="Q23" i="1" s="1"/>
  <c r="P24" i="1"/>
  <c r="Q24" i="1" s="1"/>
  <c r="P25" i="1"/>
  <c r="Q25" i="1" s="1"/>
  <c r="P26" i="1"/>
  <c r="Q26" i="1" s="1"/>
  <c r="P27" i="1"/>
  <c r="Q27" i="1" s="1"/>
  <c r="P28" i="1"/>
  <c r="Q28" i="1" s="1"/>
  <c r="P29" i="1"/>
  <c r="Q29" i="1" s="1"/>
  <c r="P30" i="1"/>
  <c r="Q30" i="1" s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11" i="1"/>
  <c r="M56" i="1"/>
  <c r="Q17" i="1" l="1"/>
  <c r="Q13" i="1"/>
  <c r="Q20" i="1"/>
  <c r="Q16" i="1"/>
  <c r="Q12" i="1"/>
  <c r="Q11" i="1"/>
  <c r="Q19" i="1"/>
  <c r="Q15" i="1"/>
  <c r="C11" i="1"/>
  <c r="H11" i="1" s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B26" i="1"/>
  <c r="B27" i="1"/>
  <c r="H27" i="1" s="1"/>
  <c r="B28" i="1"/>
  <c r="H28" i="1" s="1"/>
  <c r="B29" i="1"/>
  <c r="H29" i="1" s="1"/>
  <c r="B30" i="1"/>
  <c r="B31" i="1"/>
  <c r="H31" i="1" s="1"/>
  <c r="B32" i="1"/>
  <c r="H32" i="1" s="1"/>
  <c r="B33" i="1"/>
  <c r="H33" i="1" s="1"/>
  <c r="B34" i="1"/>
  <c r="B35" i="1"/>
  <c r="H35" i="1" s="1"/>
  <c r="B36" i="1"/>
  <c r="H36" i="1" s="1"/>
  <c r="B37" i="1"/>
  <c r="H37" i="1" s="1"/>
  <c r="B38" i="1"/>
  <c r="B39" i="1"/>
  <c r="H39" i="1" s="1"/>
  <c r="B40" i="1"/>
  <c r="H40" i="1" s="1"/>
  <c r="B41" i="1"/>
  <c r="H41" i="1" s="1"/>
  <c r="B42" i="1"/>
  <c r="B43" i="1"/>
  <c r="H43" i="1" s="1"/>
  <c r="B44" i="1"/>
  <c r="H44" i="1" s="1"/>
  <c r="B45" i="1"/>
  <c r="H45" i="1" s="1"/>
  <c r="B46" i="1"/>
  <c r="B47" i="1"/>
  <c r="H47" i="1" s="1"/>
  <c r="B48" i="1"/>
  <c r="H48" i="1" s="1"/>
  <c r="B49" i="1"/>
  <c r="H49" i="1" s="1"/>
  <c r="B50" i="1"/>
  <c r="B51" i="1"/>
  <c r="H51" i="1" s="1"/>
  <c r="B52" i="1"/>
  <c r="H52" i="1" s="1"/>
  <c r="B53" i="1"/>
  <c r="H53" i="1" s="1"/>
  <c r="B54" i="1"/>
  <c r="B55" i="1"/>
  <c r="H55" i="1" s="1"/>
  <c r="B12" i="1"/>
  <c r="Q56" i="1" l="1"/>
  <c r="H50" i="1"/>
  <c r="H42" i="1"/>
  <c r="H34" i="1"/>
  <c r="H30" i="1"/>
  <c r="C12" i="1"/>
  <c r="H12" i="1"/>
  <c r="H54" i="1"/>
  <c r="H46" i="1"/>
  <c r="H38" i="1"/>
  <c r="H26" i="1"/>
  <c r="B13" i="1"/>
  <c r="B14" i="1" l="1"/>
  <c r="C13" i="1"/>
  <c r="H13" i="1" s="1"/>
  <c r="B15" i="1" l="1"/>
  <c r="C14" i="1"/>
  <c r="H14" i="1" s="1"/>
  <c r="B16" i="1" l="1"/>
  <c r="C15" i="1"/>
  <c r="H15" i="1" s="1"/>
  <c r="B17" i="1" l="1"/>
  <c r="C16" i="1"/>
  <c r="H16" i="1" s="1"/>
  <c r="C17" i="1" l="1"/>
  <c r="H17" i="1" s="1"/>
  <c r="B18" i="1"/>
  <c r="C18" i="1" l="1"/>
  <c r="H18" i="1" s="1"/>
  <c r="B19" i="1"/>
  <c r="B20" i="1" l="1"/>
  <c r="C19" i="1"/>
  <c r="H19" i="1" s="1"/>
  <c r="B21" i="1" l="1"/>
  <c r="C20" i="1"/>
  <c r="H20" i="1" s="1"/>
  <c r="C21" i="1" l="1"/>
  <c r="H21" i="1" s="1"/>
  <c r="B22" i="1"/>
  <c r="B23" i="1" l="1"/>
  <c r="C22" i="1"/>
  <c r="H22" i="1" s="1"/>
  <c r="C23" i="1" l="1"/>
  <c r="H23" i="1" s="1"/>
  <c r="B24" i="1"/>
  <c r="C24" i="1" l="1"/>
  <c r="H24" i="1" s="1"/>
  <c r="B25" i="1"/>
  <c r="H25" i="1" s="1"/>
</calcChain>
</file>

<file path=xl/sharedStrings.xml><?xml version="1.0" encoding="utf-8"?>
<sst xmlns="http://schemas.openxmlformats.org/spreadsheetml/2006/main" count="151" uniqueCount="119">
  <si>
    <t>＜新人研修1日計画管理表＞</t>
    <rPh sb="1" eb="3">
      <t>シンジン</t>
    </rPh>
    <rPh sb="3" eb="5">
      <t>ケンシュウ</t>
    </rPh>
    <rPh sb="6" eb="7">
      <t>ニチ</t>
    </rPh>
    <rPh sb="7" eb="9">
      <t>ケイカク</t>
    </rPh>
    <rPh sb="9" eb="11">
      <t>カンリ</t>
    </rPh>
    <rPh sb="11" eb="12">
      <t>ヒョウ</t>
    </rPh>
    <phoneticPr fontId="1"/>
  </si>
  <si>
    <t>時間</t>
    <rPh sb="0" eb="2">
      <t>ジカン</t>
    </rPh>
    <phoneticPr fontId="1"/>
  </si>
  <si>
    <t>開始</t>
    <rPh sb="0" eb="2">
      <t>カイシ</t>
    </rPh>
    <phoneticPr fontId="1"/>
  </si>
  <si>
    <t>終了</t>
    <rPh sb="0" eb="2">
      <t>シュウリョウ</t>
    </rPh>
    <phoneticPr fontId="1"/>
  </si>
  <si>
    <t>作業内容</t>
    <rPh sb="0" eb="2">
      <t>サギョウ</t>
    </rPh>
    <rPh sb="2" eb="4">
      <t>ナイヨウ</t>
    </rPh>
    <phoneticPr fontId="1"/>
  </si>
  <si>
    <t>作業インターバル</t>
    <rPh sb="0" eb="2">
      <t>サギョウ</t>
    </rPh>
    <phoneticPr fontId="1"/>
  </si>
  <si>
    <t>備考</t>
    <rPh sb="0" eb="2">
      <t>ビコウ</t>
    </rPh>
    <phoneticPr fontId="1"/>
  </si>
  <si>
    <t>調整時間</t>
    <rPh sb="0" eb="2">
      <t>チョウセイ</t>
    </rPh>
    <rPh sb="2" eb="4">
      <t>ジカン</t>
    </rPh>
    <phoneticPr fontId="1"/>
  </si>
  <si>
    <t>完</t>
    <rPh sb="0" eb="1">
      <t>カン</t>
    </rPh>
    <phoneticPr fontId="1"/>
  </si>
  <si>
    <t>続</t>
    <rPh sb="0" eb="1">
      <t>ゾク</t>
    </rPh>
    <phoneticPr fontId="1"/>
  </si>
  <si>
    <t>システム設計</t>
    <rPh sb="4" eb="6">
      <t>セッケイ</t>
    </rPh>
    <phoneticPr fontId="1"/>
  </si>
  <si>
    <t>予備、総括、日報</t>
    <rPh sb="0" eb="2">
      <t>ヨビ</t>
    </rPh>
    <rPh sb="3" eb="5">
      <t>ソウカツ</t>
    </rPh>
    <rPh sb="6" eb="8">
      <t>ニッポウ</t>
    </rPh>
    <phoneticPr fontId="1"/>
  </si>
  <si>
    <t>未</t>
    <rPh sb="0" eb="1">
      <t>ミ</t>
    </rPh>
    <phoneticPr fontId="1"/>
  </si>
  <si>
    <t>完了状態
(完・続・未)</t>
    <rPh sb="0" eb="2">
      <t>カンリョウ</t>
    </rPh>
    <rPh sb="2" eb="4">
      <t>ジョウタイ</t>
    </rPh>
    <rPh sb="6" eb="7">
      <t>カン</t>
    </rPh>
    <rPh sb="8" eb="9">
      <t>ゾク</t>
    </rPh>
    <rPh sb="10" eb="11">
      <t>ミ</t>
    </rPh>
    <phoneticPr fontId="1"/>
  </si>
  <si>
    <t>進行
位置</t>
    <rPh sb="0" eb="2">
      <t>シンコウ</t>
    </rPh>
    <rPh sb="3" eb="5">
      <t>イチ</t>
    </rPh>
    <phoneticPr fontId="1"/>
  </si>
  <si>
    <t>マニュアル調査、アルゴリズム考案</t>
  </si>
  <si>
    <t>取組み状況確認</t>
    <rPh sb="0" eb="2">
      <t>トリク</t>
    </rPh>
    <rPh sb="3" eb="5">
      <t>ジョウキョウ</t>
    </rPh>
    <rPh sb="5" eb="7">
      <t>カクニン</t>
    </rPh>
    <phoneticPr fontId="1"/>
  </si>
  <si>
    <t>コーディング</t>
  </si>
  <si>
    <t>昼休憩</t>
    <rPh sb="0" eb="3">
      <t>ヒルキュウケイ</t>
    </rPh>
    <phoneticPr fontId="1"/>
  </si>
  <si>
    <t>フローチャート作成</t>
    <rPh sb="7" eb="9">
      <t>サクセイ</t>
    </rPh>
    <phoneticPr fontId="1"/>
  </si>
  <si>
    <t>進行状況確認・外部レビュー</t>
    <rPh sb="0" eb="4">
      <t>シンコウジョウキョウ</t>
    </rPh>
    <rPh sb="4" eb="6">
      <t>カクニン</t>
    </rPh>
    <rPh sb="7" eb="9">
      <t>ガイブ</t>
    </rPh>
    <phoneticPr fontId="1"/>
  </si>
  <si>
    <t>未</t>
  </si>
  <si>
    <t>作業内容</t>
    <rPh sb="0" eb="2">
      <t>サギョウ</t>
    </rPh>
    <rPh sb="2" eb="4">
      <t>ナイヨウ</t>
    </rPh>
    <phoneticPr fontId="1"/>
  </si>
  <si>
    <t>作業インターバル</t>
    <rPh sb="0" eb="2">
      <t>サギョウ</t>
    </rPh>
    <phoneticPr fontId="1"/>
  </si>
  <si>
    <t>完</t>
    <rPh sb="0" eb="1">
      <t>カン</t>
    </rPh>
    <phoneticPr fontId="1"/>
  </si>
  <si>
    <t>＜作業内容インターバルメモ＞</t>
    <rPh sb="1" eb="3">
      <t>サギョウ</t>
    </rPh>
    <rPh sb="3" eb="5">
      <t>ナイヨウ</t>
    </rPh>
    <phoneticPr fontId="1"/>
  </si>
  <si>
    <t>作業ID</t>
    <rPh sb="0" eb="2">
      <t>サギョウ</t>
    </rPh>
    <phoneticPr fontId="1"/>
  </si>
  <si>
    <t>END</t>
    <phoneticPr fontId="1"/>
  </si>
  <si>
    <t>合計作業時間</t>
    <rPh sb="0" eb="2">
      <t>ゴウケイ</t>
    </rPh>
    <rPh sb="2" eb="4">
      <t>サギョウ</t>
    </rPh>
    <rPh sb="4" eb="6">
      <t>ジカン</t>
    </rPh>
    <phoneticPr fontId="1"/>
  </si>
  <si>
    <t>現在時刻</t>
    <rPh sb="0" eb="2">
      <t>ゲンザイ</t>
    </rPh>
    <rPh sb="2" eb="4">
      <t>ジコク</t>
    </rPh>
    <phoneticPr fontId="1"/>
  </si>
  <si>
    <t>W001</t>
  </si>
  <si>
    <t>W002</t>
  </si>
  <si>
    <t>W003</t>
  </si>
  <si>
    <t>W004</t>
  </si>
  <si>
    <t>W005</t>
  </si>
  <si>
    <t>W006</t>
  </si>
  <si>
    <t>W007</t>
  </si>
  <si>
    <t>W008</t>
  </si>
  <si>
    <t>W009</t>
  </si>
  <si>
    <t>W010</t>
  </si>
  <si>
    <t>W011</t>
  </si>
  <si>
    <t>W012</t>
  </si>
  <si>
    <t>W013</t>
  </si>
  <si>
    <t>W014</t>
  </si>
  <si>
    <t>W015</t>
  </si>
  <si>
    <t>W016</t>
  </si>
  <si>
    <t>W017</t>
  </si>
  <si>
    <t>W018</t>
  </si>
  <si>
    <t>W019</t>
  </si>
  <si>
    <t>W020</t>
  </si>
  <si>
    <t>W021</t>
  </si>
  <si>
    <t>W022</t>
  </si>
  <si>
    <t>W023</t>
  </si>
  <si>
    <t>W024</t>
  </si>
  <si>
    <t>W025</t>
  </si>
  <si>
    <t>W026</t>
  </si>
  <si>
    <t>W027</t>
  </si>
  <si>
    <t>W028</t>
  </si>
  <si>
    <t>W029</t>
  </si>
  <si>
    <t>W030</t>
  </si>
  <si>
    <t>W031</t>
  </si>
  <si>
    <t>W032</t>
  </si>
  <si>
    <t>W033</t>
  </si>
  <si>
    <t>W034</t>
  </si>
  <si>
    <t>W035</t>
  </si>
  <si>
    <t>W036</t>
  </si>
  <si>
    <t>W037</t>
  </si>
  <si>
    <t>W038</t>
  </si>
  <si>
    <t>W039</t>
  </si>
  <si>
    <t>W040</t>
  </si>
  <si>
    <t>W041</t>
  </si>
  <si>
    <t>W042</t>
  </si>
  <si>
    <t>W043</t>
  </si>
  <si>
    <t>W044</t>
  </si>
  <si>
    <t>W045</t>
  </si>
  <si>
    <t>W046</t>
  </si>
  <si>
    <t>W047</t>
  </si>
  <si>
    <t>W048</t>
  </si>
  <si>
    <t>W049</t>
  </si>
  <si>
    <t>W050</t>
  </si>
  <si>
    <t>REST01</t>
  </si>
  <si>
    <t>REST02</t>
  </si>
  <si>
    <t>REST03</t>
  </si>
  <si>
    <t>REST04</t>
  </si>
  <si>
    <t>REST05</t>
  </si>
  <si>
    <t>&lt;&lt; -- 終了 -- &gt;&gt;</t>
    <rPh sb="6" eb="8">
      <t>シュウリョウ</t>
    </rPh>
    <phoneticPr fontId="1"/>
  </si>
  <si>
    <t>＜作業リスト＞</t>
    <rPh sb="1" eb="3">
      <t>サギョウ</t>
    </rPh>
    <phoneticPr fontId="1"/>
  </si>
  <si>
    <t>W001</t>
    <phoneticPr fontId="1"/>
  </si>
  <si>
    <t>W002</t>
    <phoneticPr fontId="1"/>
  </si>
  <si>
    <t>W003</t>
    <phoneticPr fontId="1"/>
  </si>
  <si>
    <t>REST01</t>
    <phoneticPr fontId="1"/>
  </si>
  <si>
    <t>W004</t>
    <phoneticPr fontId="1"/>
  </si>
  <si>
    <t>W002</t>
    <phoneticPr fontId="1"/>
  </si>
  <si>
    <t>W003</t>
    <phoneticPr fontId="1"/>
  </si>
  <si>
    <t>W005</t>
    <phoneticPr fontId="1"/>
  </si>
  <si>
    <t>W006</t>
    <phoneticPr fontId="1"/>
  </si>
  <si>
    <t>W007</t>
    <phoneticPr fontId="1"/>
  </si>
  <si>
    <t>W008</t>
    <phoneticPr fontId="1"/>
  </si>
  <si>
    <t>＜作業時間統計＞</t>
    <rPh sb="1" eb="3">
      <t>サギョウ</t>
    </rPh>
    <rPh sb="3" eb="5">
      <t>ジカン</t>
    </rPh>
    <rPh sb="5" eb="7">
      <t>トウケイ</t>
    </rPh>
    <phoneticPr fontId="1"/>
  </si>
  <si>
    <t>作業時間</t>
    <rPh sb="0" eb="2">
      <t>サギョウ</t>
    </rPh>
    <rPh sb="2" eb="4">
      <t>ジカン</t>
    </rPh>
    <phoneticPr fontId="1"/>
  </si>
  <si>
    <t>＜計画管理表の使用方法＞</t>
    <rPh sb="1" eb="3">
      <t>ケイカク</t>
    </rPh>
    <rPh sb="3" eb="5">
      <t>カンリ</t>
    </rPh>
    <rPh sb="5" eb="6">
      <t>ヒョウ</t>
    </rPh>
    <rPh sb="7" eb="9">
      <t>シヨウ</t>
    </rPh>
    <rPh sb="9" eb="11">
      <t>ホウホウ</t>
    </rPh>
    <phoneticPr fontId="1"/>
  </si>
  <si>
    <t>〇手順</t>
    <rPh sb="1" eb="3">
      <t>テジュン</t>
    </rPh>
    <phoneticPr fontId="1"/>
  </si>
  <si>
    <t>1. 「作業リスト」シートに作業内容を設定する</t>
    <rPh sb="4" eb="6">
      <t>サギョウ</t>
    </rPh>
    <rPh sb="14" eb="16">
      <t>サギョウ</t>
    </rPh>
    <rPh sb="16" eb="18">
      <t>ナイヨウ</t>
    </rPh>
    <rPh sb="19" eb="21">
      <t>セッテイ</t>
    </rPh>
    <phoneticPr fontId="1"/>
  </si>
  <si>
    <t>2. 「計画管理表」シートの「＜新人研修1日計画管理表＞」部分の「作業ID」列に「作業リスト」シート内の</t>
    <rPh sb="4" eb="6">
      <t>ケイカク</t>
    </rPh>
    <rPh sb="6" eb="8">
      <t>カンリ</t>
    </rPh>
    <rPh sb="8" eb="9">
      <t>ヒョウ</t>
    </rPh>
    <rPh sb="29" eb="31">
      <t>ブブン</t>
    </rPh>
    <rPh sb="33" eb="35">
      <t>サギョウ</t>
    </rPh>
    <rPh sb="38" eb="39">
      <t>レツ</t>
    </rPh>
    <rPh sb="41" eb="43">
      <t>サギョウ</t>
    </rPh>
    <rPh sb="50" eb="51">
      <t>ナイ</t>
    </rPh>
    <phoneticPr fontId="1"/>
  </si>
  <si>
    <t>目的の作業内容に対応するIDを入力する</t>
  </si>
  <si>
    <t>3. 「計画管理表」シートの「＜新人研修1日計画管理表＞」部分の「時間 &gt; 作業インターバル」列に1作業毎の</t>
    <rPh sb="4" eb="9">
      <t>ケイカクカンリヒョウ</t>
    </rPh>
    <rPh sb="33" eb="35">
      <t>ジカン</t>
    </rPh>
    <rPh sb="38" eb="40">
      <t>サギョウ</t>
    </rPh>
    <rPh sb="47" eb="48">
      <t>レツ</t>
    </rPh>
    <rPh sb="50" eb="52">
      <t>サギョウ</t>
    </rPh>
    <rPh sb="52" eb="53">
      <t>ゴト</t>
    </rPh>
    <phoneticPr fontId="1"/>
  </si>
  <si>
    <t>作業インターバル時間を入力する</t>
  </si>
  <si>
    <t>※作業IDを入力すると、自動的に作業内容列に対応する作業内容文字列が代入されます。</t>
    <rPh sb="1" eb="3">
      <t>サギョウ</t>
    </rPh>
    <rPh sb="6" eb="8">
      <t>ニュウリョク</t>
    </rPh>
    <rPh sb="12" eb="15">
      <t>ジドウテキ</t>
    </rPh>
    <rPh sb="16" eb="20">
      <t>サギョウナイヨウ</t>
    </rPh>
    <rPh sb="20" eb="21">
      <t>レツ</t>
    </rPh>
    <rPh sb="22" eb="24">
      <t>タイオウ</t>
    </rPh>
    <rPh sb="26" eb="30">
      <t>サギョウナイヨウ</t>
    </rPh>
    <rPh sb="30" eb="33">
      <t>モジレツ</t>
    </rPh>
    <rPh sb="34" eb="36">
      <t>ダイニュウ</t>
    </rPh>
    <phoneticPr fontId="1"/>
  </si>
  <si>
    <t>※作業インターバル時間を入力すると、自動的に開始時刻と終了時刻が代入されます。</t>
    <rPh sb="1" eb="3">
      <t>サギョウ</t>
    </rPh>
    <rPh sb="9" eb="11">
      <t>ジカン</t>
    </rPh>
    <rPh sb="12" eb="14">
      <t>ニュウリョク</t>
    </rPh>
    <rPh sb="18" eb="21">
      <t>ジドウテキ</t>
    </rPh>
    <rPh sb="22" eb="24">
      <t>カイシ</t>
    </rPh>
    <rPh sb="24" eb="26">
      <t>ジコク</t>
    </rPh>
    <rPh sb="27" eb="29">
      <t>シュウリョウ</t>
    </rPh>
    <rPh sb="29" eb="31">
      <t>ジコク</t>
    </rPh>
    <rPh sb="32" eb="34">
      <t>ダイニュウ</t>
    </rPh>
    <phoneticPr fontId="1"/>
  </si>
  <si>
    <t>4. 必要に応じて、「計画管理表」シートの「＜作業内容インターバルメモ＞」部分を利用する</t>
    <rPh sb="3" eb="5">
      <t>ヒツヨウ</t>
    </rPh>
    <rPh sb="6" eb="7">
      <t>オウ</t>
    </rPh>
    <rPh sb="11" eb="16">
      <t>ケイカクカンリヒョウ</t>
    </rPh>
    <rPh sb="37" eb="39">
      <t>ブブン</t>
    </rPh>
    <rPh sb="40" eb="42">
      <t>リヨウ</t>
    </rPh>
    <phoneticPr fontId="1"/>
  </si>
  <si>
    <t>※作業ID列と作業インターバル列への入力方法は、手順2、3と同様です。</t>
    <rPh sb="1" eb="3">
      <t>サギョウ</t>
    </rPh>
    <rPh sb="5" eb="6">
      <t>レツ</t>
    </rPh>
    <rPh sb="7" eb="9">
      <t>サギョウ</t>
    </rPh>
    <rPh sb="15" eb="16">
      <t>レツ</t>
    </rPh>
    <rPh sb="18" eb="20">
      <t>ニュウリョク</t>
    </rPh>
    <rPh sb="20" eb="22">
      <t>ホウホウ</t>
    </rPh>
    <rPh sb="24" eb="26">
      <t>テジュン</t>
    </rPh>
    <rPh sb="30" eb="32">
      <t>ドウヨウ</t>
    </rPh>
    <phoneticPr fontId="1"/>
  </si>
  <si>
    <t>・昼休憩などの休憩には、REST**の作業IDを、1日の終わりには、ENDの作業IDを利用する</t>
    <rPh sb="1" eb="2">
      <t>ヒル</t>
    </rPh>
    <rPh sb="2" eb="4">
      <t>キュウケイ</t>
    </rPh>
    <rPh sb="7" eb="9">
      <t>キュウケイ</t>
    </rPh>
    <rPh sb="19" eb="21">
      <t>サギョウ</t>
    </rPh>
    <rPh sb="26" eb="27">
      <t>ニチ</t>
    </rPh>
    <rPh sb="28" eb="29">
      <t>オ</t>
    </rPh>
    <rPh sb="38" eb="40">
      <t>サギョウ</t>
    </rPh>
    <rPh sb="43" eb="45">
      <t>リヨウ</t>
    </rPh>
    <phoneticPr fontId="1"/>
  </si>
  <si>
    <t>5. 「計画管理表」シートの「＜作業時間統計＞」部分に、各作業内容毎の合計作業時間、1日の全作業時間が</t>
    <rPh sb="24" eb="26">
      <t>ブブン</t>
    </rPh>
    <rPh sb="28" eb="29">
      <t>カク</t>
    </rPh>
    <rPh sb="29" eb="31">
      <t>サギョウ</t>
    </rPh>
    <rPh sb="31" eb="33">
      <t>ナイヨウ</t>
    </rPh>
    <rPh sb="33" eb="34">
      <t>ゴト</t>
    </rPh>
    <rPh sb="35" eb="37">
      <t>ゴウケイ</t>
    </rPh>
    <rPh sb="37" eb="39">
      <t>サギョウ</t>
    </rPh>
    <rPh sb="39" eb="41">
      <t>ジカン</t>
    </rPh>
    <rPh sb="43" eb="44">
      <t>ニチ</t>
    </rPh>
    <rPh sb="45" eb="46">
      <t>ゼン</t>
    </rPh>
    <rPh sb="46" eb="48">
      <t>サギョウ</t>
    </rPh>
    <rPh sb="48" eb="50">
      <t>ジカン</t>
    </rPh>
    <phoneticPr fontId="1"/>
  </si>
  <si>
    <t>表示される</t>
  </si>
  <si>
    <t>END</t>
  </si>
  <si>
    <t>REST01</t>
    <phoneticPr fontId="1"/>
  </si>
  <si>
    <t>END</t>
    <phoneticPr fontId="1"/>
  </si>
  <si>
    <t>※作業リストの休憩時間(ID: REST01～REST05)と、終了(ID: END)の作業インターバル時間は</t>
    <rPh sb="1" eb="3">
      <t>サギョウ</t>
    </rPh>
    <rPh sb="7" eb="9">
      <t>キュウケイ</t>
    </rPh>
    <rPh sb="9" eb="11">
      <t>ジカン</t>
    </rPh>
    <rPh sb="32" eb="34">
      <t>シュウリョウ</t>
    </rPh>
    <rPh sb="44" eb="46">
      <t>サギョウ</t>
    </rPh>
    <rPh sb="52" eb="54">
      <t>ジカン</t>
    </rPh>
    <phoneticPr fontId="1"/>
  </si>
  <si>
    <t>自動的に排除されます。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</si>
</sst>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[$-F400]h:mm:ss\ AM/PM"/>
    <numFmt numFmtId="177" formatCode="h:mm;@"/>
  </numFmts>
  <fonts count="14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b/>
      <sz val="11"/>
      <color theme="5"/>
      <name val="ＭＳ Ｐゴシック"/>
      <family val="3"/>
      <charset val="128"/>
      <scheme val="minor"/>
    </font>
    <font>
      <sz val="8"/>
      <color theme="1"/>
      <name val="ＭＳ Ｐゴシック"/>
      <family val="3"/>
      <charset val="128"/>
      <scheme val="minor"/>
    </font>
    <font>
      <b/>
      <sz val="12"/>
      <color theme="7" tint="0.39997558519241921"/>
      <name val="HGS創英角ｺﾞｼｯｸUB"/>
      <family val="3"/>
      <charset val="128"/>
    </font>
    <font>
      <b/>
      <sz val="9"/>
      <color theme="9"/>
      <name val="ＭＳ Ｐゴシック"/>
      <family val="3"/>
      <charset val="128"/>
      <scheme val="minor"/>
    </font>
    <font>
      <sz val="8"/>
      <color rgb="FF000000"/>
      <name val="ＭＳ Ｐゴシック"/>
      <family val="3"/>
      <charset val="128"/>
    </font>
    <font>
      <sz val="11"/>
      <color theme="0"/>
      <name val="ＭＳ Ｐゴシック"/>
      <family val="2"/>
      <charset val="128"/>
      <scheme val="minor"/>
    </font>
    <font>
      <sz val="11"/>
      <name val="ＭＳ Ｐゴシック"/>
      <family val="2"/>
      <charset val="128"/>
      <scheme val="minor"/>
    </font>
    <font>
      <sz val="11"/>
      <name val="ＭＳ Ｐゴシック"/>
      <family val="3"/>
      <charset val="128"/>
      <scheme val="minor"/>
    </font>
    <font>
      <sz val="11"/>
      <color theme="0"/>
      <name val="ＭＳ Ｐゴシック"/>
      <family val="3"/>
      <charset val="128"/>
      <scheme val="minor"/>
    </font>
    <font>
      <b/>
      <sz val="12"/>
      <color theme="1"/>
      <name val="ＭＳ Ｐゴシック"/>
      <family val="3"/>
      <charset val="128"/>
      <scheme val="minor"/>
    </font>
    <font>
      <b/>
      <sz val="14"/>
      <color theme="1"/>
      <name val="ＭＳ Ｐゴシック"/>
      <family val="3"/>
      <charset val="128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0.79998168889431442"/>
        <bgColor indexed="64"/>
      </patternFill>
    </fill>
  </fills>
  <borders count="62">
    <border>
      <left/>
      <right/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/>
      <bottom style="double">
        <color auto="1"/>
      </bottom>
      <diagonal/>
    </border>
    <border>
      <left style="thin">
        <color auto="1"/>
      </left>
      <right style="medium">
        <color auto="1"/>
      </right>
      <top/>
      <bottom style="double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/>
      <diagonal/>
    </border>
    <border>
      <left/>
      <right style="thin">
        <color auto="1"/>
      </right>
      <top/>
      <bottom style="double">
        <color auto="1"/>
      </bottom>
      <diagonal/>
    </border>
    <border>
      <left/>
      <right style="slantDashDot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slantDashDot">
        <color auto="1"/>
      </right>
      <top style="thin">
        <color auto="1"/>
      </top>
      <bottom style="double">
        <color auto="1"/>
      </bottom>
      <diagonal/>
    </border>
    <border>
      <left style="medium">
        <color auto="1"/>
      </left>
      <right style="thin">
        <color auto="1"/>
      </right>
      <top style="double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dotted">
        <color auto="1"/>
      </bottom>
      <diagonal/>
    </border>
    <border>
      <left style="thin">
        <color auto="1"/>
      </left>
      <right style="slantDashDot">
        <color auto="1"/>
      </right>
      <top style="double">
        <color auto="1"/>
      </top>
      <bottom style="dotted">
        <color auto="1"/>
      </bottom>
      <diagonal/>
    </border>
    <border>
      <left/>
      <right style="thin">
        <color auto="1"/>
      </right>
      <top style="double">
        <color auto="1"/>
      </top>
      <bottom style="dotted">
        <color auto="1"/>
      </bottom>
      <diagonal/>
    </border>
    <border>
      <left style="thin">
        <color auto="1"/>
      </left>
      <right style="medium">
        <color auto="1"/>
      </right>
      <top style="double">
        <color auto="1"/>
      </top>
      <bottom style="dotted">
        <color auto="1"/>
      </bottom>
      <diagonal/>
    </border>
    <border>
      <left style="medium">
        <color auto="1"/>
      </left>
      <right style="thin">
        <color auto="1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 style="slantDashDot">
        <color auto="1"/>
      </right>
      <top style="dotted">
        <color auto="1"/>
      </top>
      <bottom style="dotted">
        <color auto="1"/>
      </bottom>
      <diagonal/>
    </border>
    <border>
      <left/>
      <right style="thin">
        <color auto="1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 style="medium">
        <color auto="1"/>
      </right>
      <top style="dotted">
        <color auto="1"/>
      </top>
      <bottom style="dotted">
        <color auto="1"/>
      </bottom>
      <diagonal/>
    </border>
    <border>
      <left style="medium">
        <color auto="1"/>
      </left>
      <right style="thin">
        <color auto="1"/>
      </right>
      <top style="dotted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medium">
        <color auto="1"/>
      </bottom>
      <diagonal/>
    </border>
    <border>
      <left style="thin">
        <color auto="1"/>
      </left>
      <right style="slantDashDot">
        <color auto="1"/>
      </right>
      <top style="dotted">
        <color auto="1"/>
      </top>
      <bottom style="medium">
        <color auto="1"/>
      </bottom>
      <diagonal/>
    </border>
    <border>
      <left/>
      <right style="thin">
        <color auto="1"/>
      </right>
      <top style="dotted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dotted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dotted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tted">
        <color auto="1"/>
      </bottom>
      <diagonal/>
    </border>
    <border>
      <left style="medium">
        <color auto="1"/>
      </left>
      <right style="thin">
        <color auto="1"/>
      </right>
      <top/>
      <bottom style="dotted">
        <color auto="1"/>
      </bottom>
      <diagonal/>
    </border>
    <border>
      <left style="thin">
        <color auto="1"/>
      </left>
      <right style="medium">
        <color auto="1"/>
      </right>
      <top/>
      <bottom style="dotted">
        <color auto="1"/>
      </bottom>
      <diagonal/>
    </border>
    <border>
      <left style="medium">
        <color auto="1"/>
      </left>
      <right style="thin">
        <color auto="1"/>
      </right>
      <top style="dotted">
        <color auto="1"/>
      </top>
      <bottom style="double">
        <color auto="1"/>
      </bottom>
      <diagonal/>
    </border>
    <border>
      <left style="thin">
        <color auto="1"/>
      </left>
      <right style="medium">
        <color auto="1"/>
      </right>
      <top style="dotted">
        <color auto="1"/>
      </top>
      <bottom style="double">
        <color auto="1"/>
      </bottom>
      <diagonal/>
    </border>
    <border>
      <left style="medium">
        <color auto="1"/>
      </left>
      <right style="thin">
        <color auto="1"/>
      </right>
      <top style="dotted">
        <color auto="1"/>
      </top>
      <bottom/>
      <diagonal/>
    </border>
    <border>
      <left style="thin">
        <color auto="1"/>
      </left>
      <right style="medium">
        <color auto="1"/>
      </right>
      <top style="dotted">
        <color auto="1"/>
      </top>
      <bottom/>
      <diagonal/>
    </border>
    <border>
      <left style="thin">
        <color auto="1"/>
      </left>
      <right style="medium">
        <color auto="1"/>
      </right>
      <top style="slantDashDot">
        <color auto="1"/>
      </top>
      <bottom style="medium">
        <color auto="1"/>
      </bottom>
      <diagonal/>
    </border>
    <border>
      <left/>
      <right/>
      <top style="dotted">
        <color auto="1"/>
      </top>
      <bottom style="dotted">
        <color auto="1"/>
      </bottom>
      <diagonal/>
    </border>
    <border>
      <left style="slantDashDot">
        <color auto="1"/>
      </left>
      <right style="thin">
        <color auto="1"/>
      </right>
      <top style="medium">
        <color auto="1"/>
      </top>
      <bottom/>
      <diagonal/>
    </border>
    <border>
      <left style="slantDashDot">
        <color auto="1"/>
      </left>
      <right style="thin">
        <color auto="1"/>
      </right>
      <top/>
      <bottom style="double">
        <color auto="1"/>
      </bottom>
      <diagonal/>
    </border>
    <border>
      <left style="slantDashDot">
        <color auto="1"/>
      </left>
      <right style="thin">
        <color auto="1"/>
      </right>
      <top style="double">
        <color auto="1"/>
      </top>
      <bottom style="dotted">
        <color auto="1"/>
      </bottom>
      <diagonal/>
    </border>
    <border>
      <left style="slantDashDot">
        <color auto="1"/>
      </left>
      <right style="thin">
        <color auto="1"/>
      </right>
      <top style="dotted">
        <color auto="1"/>
      </top>
      <bottom style="dotted">
        <color auto="1"/>
      </bottom>
      <diagonal/>
    </border>
    <border>
      <left style="slantDashDot">
        <color auto="1"/>
      </left>
      <right style="thin">
        <color auto="1"/>
      </right>
      <top style="dotted">
        <color auto="1"/>
      </top>
      <bottom style="medium">
        <color auto="1"/>
      </bottom>
      <diagonal/>
    </border>
    <border>
      <left/>
      <right/>
      <top/>
      <bottom style="dotted">
        <color auto="1"/>
      </bottom>
      <diagonal/>
    </border>
    <border>
      <left/>
      <right/>
      <top style="dotted">
        <color auto="1"/>
      </top>
      <bottom/>
      <diagonal/>
    </border>
    <border>
      <left style="medium">
        <color auto="1"/>
      </left>
      <right/>
      <top style="slantDashDot">
        <color auto="1"/>
      </top>
      <bottom style="medium">
        <color auto="1"/>
      </bottom>
      <diagonal/>
    </border>
    <border>
      <left/>
      <right style="thin">
        <color auto="1"/>
      </right>
      <top style="slantDashDot">
        <color auto="1"/>
      </top>
      <bottom style="medium">
        <color auto="1"/>
      </bottom>
      <diagonal/>
    </border>
    <border>
      <left/>
      <right style="mediumDashDot">
        <color auto="1"/>
      </right>
      <top/>
      <bottom/>
      <diagonal/>
    </border>
    <border>
      <left style="mediumDashDot">
        <color auto="1"/>
      </left>
      <right/>
      <top/>
      <bottom style="mediumDashDot">
        <color auto="1"/>
      </bottom>
      <diagonal/>
    </border>
    <border>
      <left/>
      <right/>
      <top/>
      <bottom style="mediumDashDot">
        <color auto="1"/>
      </bottom>
      <diagonal/>
    </border>
    <border>
      <left/>
      <right style="mediumDashDot">
        <color auto="1"/>
      </right>
      <top/>
      <bottom style="mediumDashDot">
        <color auto="1"/>
      </bottom>
      <diagonal/>
    </border>
    <border>
      <left style="mediumDashDot">
        <color auto="1"/>
      </left>
      <right/>
      <top style="mediumDashDot">
        <color auto="1"/>
      </top>
      <bottom style="slantDashDot">
        <color auto="1"/>
      </bottom>
      <diagonal/>
    </border>
    <border>
      <left/>
      <right/>
      <top style="mediumDashDot">
        <color auto="1"/>
      </top>
      <bottom style="slantDashDot">
        <color auto="1"/>
      </bottom>
      <diagonal/>
    </border>
    <border>
      <left/>
      <right style="mediumDashDot">
        <color auto="1"/>
      </right>
      <top style="mediumDashDot">
        <color auto="1"/>
      </top>
      <bottom style="slantDashDot">
        <color auto="1"/>
      </bottom>
      <diagonal/>
    </border>
    <border>
      <left style="mediumDashDot">
        <color auto="1"/>
      </left>
      <right/>
      <top style="slantDashDot">
        <color auto="1"/>
      </top>
      <bottom/>
      <diagonal/>
    </border>
    <border>
      <left/>
      <right/>
      <top style="slantDashDot">
        <color auto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double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/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/>
      <diagonal/>
    </border>
  </borders>
  <cellStyleXfs count="1">
    <xf numFmtId="0" fontId="0" fillId="0" borderId="0">
      <alignment vertical="center"/>
    </xf>
  </cellStyleXfs>
  <cellXfs count="100">
    <xf numFmtId="0" fontId="0" fillId="0" borderId="0" xfId="0">
      <alignment vertical="center"/>
    </xf>
    <xf numFmtId="0" fontId="2" fillId="0" borderId="5" xfId="0" applyFont="1" applyBorder="1" applyAlignment="1" applyProtection="1">
      <alignment horizontal="center" vertical="center"/>
    </xf>
    <xf numFmtId="0" fontId="2" fillId="0" borderId="6" xfId="0" applyFont="1" applyBorder="1" applyAlignment="1" applyProtection="1">
      <alignment horizontal="center" vertical="center"/>
    </xf>
    <xf numFmtId="0" fontId="2" fillId="0" borderId="12" xfId="0" applyFont="1" applyBorder="1" applyAlignment="1" applyProtection="1">
      <alignment horizontal="center" vertical="center"/>
    </xf>
    <xf numFmtId="20" fontId="0" fillId="0" borderId="13" xfId="0" applyNumberFormat="1" applyBorder="1" applyAlignment="1" applyProtection="1">
      <alignment horizontal="right" vertical="center"/>
    </xf>
    <xf numFmtId="20" fontId="0" fillId="0" borderId="14" xfId="0" applyNumberFormat="1" applyBorder="1" applyAlignment="1" applyProtection="1">
      <alignment horizontal="right" vertical="center"/>
    </xf>
    <xf numFmtId="20" fontId="0" fillId="0" borderId="15" xfId="0" applyNumberFormat="1" applyBorder="1" applyAlignment="1" applyProtection="1">
      <alignment horizontal="right" vertical="center"/>
      <protection locked="0"/>
    </xf>
    <xf numFmtId="0" fontId="0" fillId="0" borderId="14" xfId="0" applyBorder="1" applyAlignment="1" applyProtection="1">
      <alignment horizontal="center" vertical="center"/>
      <protection locked="0"/>
    </xf>
    <xf numFmtId="20" fontId="0" fillId="0" borderId="18" xfId="0" applyNumberFormat="1" applyBorder="1" applyAlignment="1" applyProtection="1">
      <alignment horizontal="right" vertical="center"/>
    </xf>
    <xf numFmtId="20" fontId="0" fillId="0" borderId="19" xfId="0" applyNumberFormat="1" applyBorder="1" applyAlignment="1" applyProtection="1">
      <alignment horizontal="right" vertical="center"/>
    </xf>
    <xf numFmtId="20" fontId="0" fillId="0" borderId="20" xfId="0" applyNumberFormat="1" applyBorder="1" applyAlignment="1" applyProtection="1">
      <alignment horizontal="right" vertical="center"/>
      <protection locked="0"/>
    </xf>
    <xf numFmtId="0" fontId="0" fillId="0" borderId="19" xfId="0" applyBorder="1" applyAlignment="1" applyProtection="1">
      <alignment horizontal="center" vertical="center"/>
      <protection locked="0"/>
    </xf>
    <xf numFmtId="0" fontId="0" fillId="0" borderId="20" xfId="0" applyBorder="1" applyAlignment="1" applyProtection="1">
      <alignment horizontal="right" vertical="center"/>
      <protection locked="0"/>
    </xf>
    <xf numFmtId="20" fontId="0" fillId="0" borderId="23" xfId="0" applyNumberFormat="1" applyBorder="1" applyAlignment="1" applyProtection="1">
      <alignment horizontal="right" vertical="center"/>
    </xf>
    <xf numFmtId="20" fontId="0" fillId="0" borderId="24" xfId="0" applyNumberFormat="1" applyBorder="1" applyAlignment="1" applyProtection="1">
      <alignment horizontal="right" vertical="center"/>
    </xf>
    <xf numFmtId="0" fontId="0" fillId="0" borderId="25" xfId="0" applyBorder="1" applyAlignment="1" applyProtection="1">
      <alignment horizontal="right" vertical="center"/>
      <protection locked="0"/>
    </xf>
    <xf numFmtId="0" fontId="0" fillId="0" borderId="24" xfId="0" applyBorder="1" applyProtection="1">
      <alignment vertical="center"/>
      <protection locked="0"/>
    </xf>
    <xf numFmtId="0" fontId="2" fillId="0" borderId="0" xfId="0" applyFont="1" applyAlignment="1">
      <alignment horizontal="left" vertical="center"/>
    </xf>
    <xf numFmtId="0" fontId="0" fillId="0" borderId="17" xfId="0" applyBorder="1" applyAlignment="1" applyProtection="1">
      <alignment vertical="center" wrapText="1"/>
      <protection locked="0"/>
    </xf>
    <xf numFmtId="0" fontId="0" fillId="0" borderId="22" xfId="0" applyBorder="1" applyAlignment="1" applyProtection="1">
      <alignment vertical="center" wrapText="1"/>
      <protection locked="0"/>
    </xf>
    <xf numFmtId="0" fontId="0" fillId="0" borderId="27" xfId="0" applyBorder="1" applyAlignment="1" applyProtection="1">
      <alignment vertical="center" wrapText="1"/>
      <protection locked="0"/>
    </xf>
    <xf numFmtId="177" fontId="0" fillId="0" borderId="31" xfId="0" applyNumberFormat="1" applyBorder="1" applyProtection="1">
      <alignment vertical="center"/>
      <protection locked="0"/>
    </xf>
    <xf numFmtId="177" fontId="0" fillId="0" borderId="22" xfId="0" applyNumberFormat="1" applyBorder="1" applyProtection="1">
      <alignment vertical="center"/>
      <protection locked="0"/>
    </xf>
    <xf numFmtId="177" fontId="0" fillId="0" borderId="35" xfId="0" applyNumberFormat="1" applyBorder="1" applyProtection="1">
      <alignment vertical="center"/>
      <protection locked="0"/>
    </xf>
    <xf numFmtId="177" fontId="3" fillId="2" borderId="36" xfId="0" applyNumberFormat="1" applyFont="1" applyFill="1" applyBorder="1">
      <alignment vertical="center"/>
    </xf>
    <xf numFmtId="0" fontId="0" fillId="0" borderId="14" xfId="0" applyBorder="1" applyAlignment="1" applyProtection="1">
      <alignment horizontal="center" vertical="center"/>
    </xf>
    <xf numFmtId="0" fontId="0" fillId="0" borderId="19" xfId="0" applyBorder="1" applyAlignment="1" applyProtection="1">
      <alignment horizontal="center" vertical="center"/>
    </xf>
    <xf numFmtId="0" fontId="0" fillId="0" borderId="24" xfId="0" applyBorder="1" applyAlignment="1" applyProtection="1">
      <alignment horizontal="center" vertical="center"/>
    </xf>
    <xf numFmtId="0" fontId="2" fillId="0" borderId="56" xfId="0" applyFont="1" applyBorder="1" applyAlignment="1">
      <alignment horizontal="center" vertical="center"/>
    </xf>
    <xf numFmtId="0" fontId="2" fillId="0" borderId="57" xfId="0" applyFont="1" applyBorder="1" applyAlignment="1">
      <alignment horizontal="center" vertical="center"/>
    </xf>
    <xf numFmtId="0" fontId="0" fillId="0" borderId="31" xfId="0" applyBorder="1" applyAlignment="1" applyProtection="1">
      <alignment vertical="center" wrapText="1"/>
      <protection locked="0"/>
    </xf>
    <xf numFmtId="20" fontId="0" fillId="0" borderId="40" xfId="0" applyNumberFormat="1" applyBorder="1" applyAlignment="1" applyProtection="1">
      <alignment horizontal="center" vertical="center"/>
      <protection locked="0"/>
    </xf>
    <xf numFmtId="20" fontId="0" fillId="0" borderId="41" xfId="0" applyNumberFormat="1" applyBorder="1" applyAlignment="1" applyProtection="1">
      <alignment horizontal="center" vertical="center"/>
      <protection locked="0"/>
    </xf>
    <xf numFmtId="0" fontId="0" fillId="0" borderId="41" xfId="0" applyBorder="1" applyAlignment="1" applyProtection="1">
      <alignment horizontal="center" vertical="center"/>
      <protection locked="0"/>
    </xf>
    <xf numFmtId="0" fontId="0" fillId="0" borderId="42" xfId="0" applyBorder="1" applyAlignment="1" applyProtection="1">
      <alignment horizontal="center" vertical="center"/>
      <protection locked="0"/>
    </xf>
    <xf numFmtId="0" fontId="0" fillId="0" borderId="30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16" xfId="0" applyBorder="1" applyAlignment="1" applyProtection="1">
      <alignment vertical="center" wrapText="1"/>
    </xf>
    <xf numFmtId="0" fontId="0" fillId="0" borderId="21" xfId="0" applyBorder="1" applyAlignment="1" applyProtection="1">
      <alignment vertical="center" wrapText="1"/>
    </xf>
    <xf numFmtId="0" fontId="0" fillId="0" borderId="26" xfId="0" applyBorder="1" applyAlignment="1" applyProtection="1">
      <alignment vertical="center" wrapText="1"/>
    </xf>
    <xf numFmtId="0" fontId="0" fillId="0" borderId="30" xfId="0" applyBorder="1" applyAlignment="1" applyProtection="1">
      <alignment horizontal="center" vertical="center" wrapText="1"/>
      <protection locked="0"/>
    </xf>
    <xf numFmtId="0" fontId="0" fillId="0" borderId="18" xfId="0" applyBorder="1" applyAlignment="1" applyProtection="1">
      <alignment horizontal="center" vertical="center" wrapText="1"/>
      <protection locked="0"/>
    </xf>
    <xf numFmtId="0" fontId="0" fillId="0" borderId="34" xfId="0" applyBorder="1" applyAlignment="1" applyProtection="1">
      <alignment horizontal="center" vertical="center" wrapText="1"/>
      <protection locked="0"/>
    </xf>
    <xf numFmtId="0" fontId="0" fillId="0" borderId="43" xfId="0" applyBorder="1" applyAlignment="1" applyProtection="1">
      <alignment vertical="center" wrapText="1"/>
    </xf>
    <xf numFmtId="0" fontId="0" fillId="0" borderId="37" xfId="0" applyBorder="1" applyAlignment="1" applyProtection="1">
      <alignment vertical="center" wrapText="1"/>
    </xf>
    <xf numFmtId="0" fontId="0" fillId="0" borderId="44" xfId="0" applyBorder="1" applyAlignment="1" applyProtection="1">
      <alignment vertical="center" wrapText="1"/>
    </xf>
    <xf numFmtId="0" fontId="2" fillId="0" borderId="0" xfId="0" applyFont="1" applyAlignment="1">
      <alignment vertical="center"/>
    </xf>
    <xf numFmtId="0" fontId="0" fillId="0" borderId="18" xfId="0" applyBorder="1" applyAlignment="1" applyProtection="1">
      <alignment horizontal="center" vertical="center"/>
      <protection locked="0"/>
    </xf>
    <xf numFmtId="0" fontId="0" fillId="0" borderId="19" xfId="0" applyBorder="1" applyAlignment="1" applyProtection="1">
      <alignment vertical="center" wrapText="1"/>
    </xf>
    <xf numFmtId="0" fontId="0" fillId="0" borderId="30" xfId="0" applyBorder="1" applyAlignment="1" applyProtection="1">
      <alignment horizontal="center" vertical="center"/>
      <protection locked="0"/>
    </xf>
    <xf numFmtId="0" fontId="0" fillId="0" borderId="59" xfId="0" applyBorder="1" applyAlignment="1" applyProtection="1">
      <alignment vertical="center" wrapText="1"/>
    </xf>
    <xf numFmtId="0" fontId="0" fillId="0" borderId="34" xfId="0" applyBorder="1" applyAlignment="1" applyProtection="1">
      <alignment horizontal="center" vertical="center"/>
      <protection locked="0"/>
    </xf>
    <xf numFmtId="0" fontId="0" fillId="0" borderId="61" xfId="0" applyBorder="1" applyAlignment="1" applyProtection="1">
      <alignment vertical="center" wrapText="1"/>
    </xf>
    <xf numFmtId="0" fontId="2" fillId="0" borderId="0" xfId="0" applyFont="1" applyAlignment="1">
      <alignment horizontal="left" vertical="center"/>
    </xf>
    <xf numFmtId="177" fontId="0" fillId="0" borderId="31" xfId="0" applyNumberFormat="1" applyBorder="1">
      <alignment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vertical="center"/>
    </xf>
    <xf numFmtId="0" fontId="0" fillId="0" borderId="0" xfId="0" applyNumberFormat="1">
      <alignment vertical="center"/>
    </xf>
    <xf numFmtId="0" fontId="8" fillId="0" borderId="0" xfId="0" applyFont="1" applyFill="1" applyProtection="1">
      <alignment vertical="center"/>
    </xf>
    <xf numFmtId="0" fontId="11" fillId="0" borderId="0" xfId="0" applyFont="1" applyFill="1" applyProtection="1">
      <alignment vertical="center"/>
      <protection hidden="1"/>
    </xf>
    <xf numFmtId="0" fontId="11" fillId="0" borderId="0" xfId="0" applyFont="1" applyFill="1" applyProtection="1">
      <alignment vertical="center"/>
    </xf>
    <xf numFmtId="0" fontId="11" fillId="0" borderId="0" xfId="0" applyFont="1" applyFill="1">
      <alignment vertical="center"/>
    </xf>
    <xf numFmtId="0" fontId="9" fillId="0" borderId="0" xfId="0" applyFont="1" applyFill="1" applyProtection="1">
      <alignment vertical="center"/>
    </xf>
    <xf numFmtId="0" fontId="10" fillId="0" borderId="0" xfId="0" applyFont="1" applyFill="1" applyProtection="1">
      <alignment vertical="center"/>
      <protection hidden="1"/>
    </xf>
    <xf numFmtId="0" fontId="10" fillId="0" borderId="0" xfId="0" applyFont="1" applyFill="1" applyProtection="1">
      <alignment vertical="center"/>
    </xf>
    <xf numFmtId="0" fontId="10" fillId="0" borderId="0" xfId="0" applyFont="1" applyFill="1">
      <alignment vertical="center"/>
    </xf>
    <xf numFmtId="0" fontId="12" fillId="0" borderId="0" xfId="0" applyFont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2" fillId="0" borderId="28" xfId="0" applyFont="1" applyBorder="1" applyAlignment="1">
      <alignment horizontal="center" vertical="center"/>
    </xf>
    <xf numFmtId="0" fontId="2" fillId="0" borderId="32" xfId="0" applyFont="1" applyBorder="1" applyAlignment="1">
      <alignment horizontal="center" vertical="center"/>
    </xf>
    <xf numFmtId="0" fontId="2" fillId="0" borderId="58" xfId="0" applyFont="1" applyBorder="1" applyAlignment="1">
      <alignment horizontal="center" vertical="center"/>
    </xf>
    <xf numFmtId="0" fontId="2" fillId="0" borderId="60" xfId="0" applyFont="1" applyBorder="1" applyAlignment="1">
      <alignment horizontal="center" vertical="center"/>
    </xf>
    <xf numFmtId="0" fontId="2" fillId="0" borderId="29" xfId="0" applyFont="1" applyBorder="1" applyAlignment="1">
      <alignment horizontal="center" vertical="center"/>
    </xf>
    <xf numFmtId="0" fontId="2" fillId="0" borderId="33" xfId="0" applyFont="1" applyBorder="1" applyAlignment="1">
      <alignment horizontal="center" vertical="center"/>
    </xf>
    <xf numFmtId="0" fontId="2" fillId="0" borderId="45" xfId="0" applyFont="1" applyBorder="1" applyAlignment="1">
      <alignment horizontal="center" vertical="center"/>
    </xf>
    <xf numFmtId="0" fontId="2" fillId="0" borderId="46" xfId="0" applyFont="1" applyBorder="1" applyAlignment="1">
      <alignment horizontal="center" vertical="center"/>
    </xf>
    <xf numFmtId="0" fontId="6" fillId="4" borderId="51" xfId="0" applyFont="1" applyFill="1" applyBorder="1" applyAlignment="1">
      <alignment horizontal="center" vertical="center"/>
    </xf>
    <xf numFmtId="0" fontId="6" fillId="4" borderId="52" xfId="0" applyFont="1" applyFill="1" applyBorder="1" applyAlignment="1">
      <alignment horizontal="center" vertical="center"/>
    </xf>
    <xf numFmtId="0" fontId="6" fillId="4" borderId="53" xfId="0" applyFont="1" applyFill="1" applyBorder="1" applyAlignment="1">
      <alignment horizontal="center" vertical="center"/>
    </xf>
    <xf numFmtId="176" fontId="5" fillId="3" borderId="47" xfId="0" applyNumberFormat="1" applyFont="1" applyFill="1" applyBorder="1" applyAlignment="1" applyProtection="1">
      <alignment horizontal="center" vertical="center"/>
      <protection locked="0"/>
    </xf>
    <xf numFmtId="176" fontId="5" fillId="3" borderId="50" xfId="0" applyNumberFormat="1" applyFont="1" applyFill="1" applyBorder="1" applyAlignment="1" applyProtection="1">
      <alignment horizontal="center" vertical="center"/>
      <protection locked="0"/>
    </xf>
    <xf numFmtId="0" fontId="4" fillId="4" borderId="54" xfId="0" applyFont="1" applyFill="1" applyBorder="1" applyAlignment="1">
      <alignment horizontal="center" vertical="center" wrapText="1"/>
    </xf>
    <xf numFmtId="0" fontId="4" fillId="4" borderId="48" xfId="0" applyFont="1" applyFill="1" applyBorder="1" applyAlignment="1">
      <alignment horizontal="center" vertical="center" wrapText="1"/>
    </xf>
    <xf numFmtId="0" fontId="4" fillId="4" borderId="55" xfId="0" applyFont="1" applyFill="1" applyBorder="1" applyAlignment="1">
      <alignment horizontal="center" vertical="center" wrapText="1"/>
    </xf>
    <xf numFmtId="0" fontId="4" fillId="4" borderId="49" xfId="0" applyFont="1" applyFill="1" applyBorder="1" applyAlignment="1">
      <alignment horizontal="center" vertical="center" wrapText="1"/>
    </xf>
    <xf numFmtId="0" fontId="2" fillId="0" borderId="38" xfId="0" applyFont="1" applyBorder="1" applyAlignment="1" applyProtection="1">
      <alignment horizontal="center" vertical="center"/>
    </xf>
    <xf numFmtId="0" fontId="2" fillId="0" borderId="39" xfId="0" applyFont="1" applyBorder="1" applyAlignment="1" applyProtection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0" borderId="7" xfId="0" applyFont="1" applyBorder="1" applyAlignment="1" applyProtection="1">
      <alignment horizontal="center" vertical="center"/>
    </xf>
    <xf numFmtId="0" fontId="2" fillId="0" borderId="8" xfId="0" applyFont="1" applyBorder="1" applyAlignment="1" applyProtection="1">
      <alignment horizontal="center" vertical="center"/>
    </xf>
    <xf numFmtId="0" fontId="2" fillId="0" borderId="11" xfId="0" applyFont="1" applyBorder="1" applyAlignment="1" applyProtection="1">
      <alignment horizontal="center" vertical="center"/>
    </xf>
    <xf numFmtId="0" fontId="2" fillId="0" borderId="9" xfId="0" applyFont="1" applyBorder="1" applyAlignment="1" applyProtection="1">
      <alignment horizontal="center" vertical="center"/>
    </xf>
    <xf numFmtId="0" fontId="2" fillId="0" borderId="10" xfId="0" applyFont="1" applyBorder="1" applyAlignment="1" applyProtection="1">
      <alignment horizontal="center" vertical="center"/>
    </xf>
    <xf numFmtId="0" fontId="2" fillId="0" borderId="1" xfId="0" applyFont="1" applyBorder="1" applyAlignment="1" applyProtection="1">
      <alignment horizontal="center" vertical="center" wrapText="1"/>
    </xf>
    <xf numFmtId="0" fontId="2" fillId="0" borderId="3" xfId="0" applyFont="1" applyBorder="1" applyAlignment="1" applyProtection="1">
      <alignment horizontal="center" vertical="center" wrapText="1"/>
    </xf>
    <xf numFmtId="0" fontId="2" fillId="0" borderId="2" xfId="0" applyFont="1" applyBorder="1" applyAlignment="1" applyProtection="1">
      <alignment horizontal="center" vertical="center"/>
    </xf>
    <xf numFmtId="0" fontId="2" fillId="0" borderId="4" xfId="0" applyFont="1" applyBorder="1" applyAlignment="1" applyProtection="1">
      <alignment horizontal="center" vertical="center"/>
    </xf>
    <xf numFmtId="0" fontId="13" fillId="0" borderId="0" xfId="0" applyFont="1" applyAlignment="1">
      <alignment horizontal="left" vertical="center"/>
    </xf>
  </cellXfs>
  <cellStyles count="1">
    <cellStyle name="標準" xfId="0" builtinId="0"/>
  </cellStyles>
  <dxfs count="4">
    <dxf>
      <font>
        <b/>
        <i val="0"/>
      </font>
      <fill>
        <patternFill>
          <bgColor theme="5" tint="0.59996337778862885"/>
        </patternFill>
      </fill>
    </dxf>
    <dxf>
      <font>
        <color rgb="FFFF0000"/>
      </font>
    </dxf>
    <dxf>
      <font>
        <color theme="8" tint="0.39994506668294322"/>
      </font>
    </dxf>
    <dxf>
      <font>
        <color rgb="FFFFC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2</xdr:row>
          <xdr:rowOff>28575</xdr:rowOff>
        </xdr:from>
        <xdr:to>
          <xdr:col>1</xdr:col>
          <xdr:colOff>457200</xdr:colOff>
          <xdr:row>3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時計</a:t>
              </a:r>
            </a:p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開始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2</xdr:row>
          <xdr:rowOff>28575</xdr:rowOff>
        </xdr:from>
        <xdr:to>
          <xdr:col>2</xdr:col>
          <xdr:colOff>457200</xdr:colOff>
          <xdr:row>3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時計</a:t>
              </a:r>
            </a:p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停止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6</xdr:row>
      <xdr:rowOff>0</xdr:rowOff>
    </xdr:from>
    <xdr:to>
      <xdr:col>20</xdr:col>
      <xdr:colOff>152042</xdr:colOff>
      <xdr:row>17</xdr:row>
      <xdr:rowOff>85479</xdr:rowOff>
    </xdr:to>
    <xdr:pic>
      <xdr:nvPicPr>
        <xdr:cNvPr id="2" name="図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95350" y="1028700"/>
          <a:ext cx="2866667" cy="1971429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25</xdr:row>
      <xdr:rowOff>0</xdr:rowOff>
    </xdr:from>
    <xdr:to>
      <xdr:col>19</xdr:col>
      <xdr:colOff>66350</xdr:colOff>
      <xdr:row>31</xdr:row>
      <xdr:rowOff>133205</xdr:rowOff>
    </xdr:to>
    <xdr:pic>
      <xdr:nvPicPr>
        <xdr:cNvPr id="3" name="図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95350" y="3943350"/>
          <a:ext cx="2600000" cy="1161905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37</xdr:row>
      <xdr:rowOff>0</xdr:rowOff>
    </xdr:from>
    <xdr:to>
      <xdr:col>20</xdr:col>
      <xdr:colOff>18708</xdr:colOff>
      <xdr:row>43</xdr:row>
      <xdr:rowOff>152252</xdr:rowOff>
    </xdr:to>
    <xdr:pic>
      <xdr:nvPicPr>
        <xdr:cNvPr id="5" name="図 4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95350" y="6000750"/>
          <a:ext cx="2733333" cy="1180952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48</xdr:row>
      <xdr:rowOff>0</xdr:rowOff>
    </xdr:from>
    <xdr:to>
      <xdr:col>25</xdr:col>
      <xdr:colOff>123357</xdr:colOff>
      <xdr:row>56</xdr:row>
      <xdr:rowOff>95067</xdr:rowOff>
    </xdr:to>
    <xdr:pic>
      <xdr:nvPicPr>
        <xdr:cNvPr id="6" name="図 5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95350" y="7886700"/>
          <a:ext cx="3742857" cy="1466667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63</xdr:row>
      <xdr:rowOff>0</xdr:rowOff>
    </xdr:from>
    <xdr:to>
      <xdr:col>23</xdr:col>
      <xdr:colOff>37688</xdr:colOff>
      <xdr:row>72</xdr:row>
      <xdr:rowOff>47426</xdr:rowOff>
    </xdr:to>
    <xdr:pic>
      <xdr:nvPicPr>
        <xdr:cNvPr id="7" name="図 6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95350" y="10458450"/>
          <a:ext cx="3295238" cy="159047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1:Q86"/>
  <sheetViews>
    <sheetView showGridLines="0" tabSelected="1" zoomScale="85" zoomScaleNormal="85" workbookViewId="0">
      <selection activeCell="F2" sqref="F2"/>
    </sheetView>
  </sheetViews>
  <sheetFormatPr defaultRowHeight="13.5"/>
  <cols>
    <col min="1" max="1" width="2.25" customWidth="1"/>
    <col min="2" max="3" width="6.5" customWidth="1"/>
    <col min="4" max="4" width="15.5" customWidth="1"/>
    <col min="5" max="5" width="7.875" bestFit="1" customWidth="1"/>
    <col min="6" max="6" width="30.25" customWidth="1"/>
    <col min="7" max="7" width="11.25" customWidth="1"/>
    <col min="8" max="8" width="6" customWidth="1"/>
    <col min="9" max="9" width="21.375" customWidth="1"/>
    <col min="11" max="11" width="7.625" customWidth="1"/>
    <col min="12" max="12" width="30.25" customWidth="1"/>
    <col min="13" max="13" width="17.125" bestFit="1" customWidth="1"/>
    <col min="16" max="16" width="30.25" customWidth="1"/>
  </cols>
  <sheetData>
    <row r="1" spans="2:17" ht="14.25" thickBot="1"/>
    <row r="2" spans="2:17" ht="14.25" thickBot="1">
      <c r="B2" s="77" t="s">
        <v>29</v>
      </c>
      <c r="C2" s="78"/>
      <c r="D2" s="79"/>
    </row>
    <row r="3" spans="2:17">
      <c r="B3" s="82"/>
      <c r="C3" s="84"/>
      <c r="D3" s="80">
        <v>0.46873842592592596</v>
      </c>
    </row>
    <row r="4" spans="2:17" ht="15" customHeight="1" thickBot="1">
      <c r="B4" s="83"/>
      <c r="C4" s="85"/>
      <c r="D4" s="81"/>
    </row>
    <row r="7" spans="2:17">
      <c r="B7" s="68" t="s">
        <v>0</v>
      </c>
      <c r="C7" s="68"/>
      <c r="D7" s="68"/>
      <c r="E7" s="17"/>
      <c r="K7" s="68" t="s">
        <v>25</v>
      </c>
      <c r="L7" s="68"/>
      <c r="O7" s="68" t="s">
        <v>98</v>
      </c>
      <c r="P7" s="68"/>
    </row>
    <row r="8" spans="2:17" ht="14.25" thickBot="1"/>
    <row r="9" spans="2:17" ht="27" customHeight="1">
      <c r="B9" s="90" t="s">
        <v>1</v>
      </c>
      <c r="C9" s="91"/>
      <c r="D9" s="92"/>
      <c r="E9" s="86" t="s">
        <v>26</v>
      </c>
      <c r="F9" s="93" t="s">
        <v>4</v>
      </c>
      <c r="G9" s="95" t="s">
        <v>13</v>
      </c>
      <c r="H9" s="95" t="s">
        <v>14</v>
      </c>
      <c r="I9" s="97" t="s">
        <v>6</v>
      </c>
      <c r="K9" s="69" t="s">
        <v>26</v>
      </c>
      <c r="L9" s="88" t="s">
        <v>22</v>
      </c>
      <c r="M9" s="73" t="s">
        <v>23</v>
      </c>
      <c r="O9" s="69" t="s">
        <v>26</v>
      </c>
      <c r="P9" s="71" t="s">
        <v>22</v>
      </c>
      <c r="Q9" s="73" t="s">
        <v>99</v>
      </c>
    </row>
    <row r="10" spans="2:17" ht="14.25" thickBot="1">
      <c r="B10" s="1" t="s">
        <v>2</v>
      </c>
      <c r="C10" s="2" t="s">
        <v>3</v>
      </c>
      <c r="D10" s="3" t="s">
        <v>5</v>
      </c>
      <c r="E10" s="87"/>
      <c r="F10" s="94"/>
      <c r="G10" s="96"/>
      <c r="H10" s="96"/>
      <c r="I10" s="98"/>
      <c r="K10" s="70"/>
      <c r="L10" s="89"/>
      <c r="M10" s="74"/>
      <c r="O10" s="70"/>
      <c r="P10" s="72"/>
      <c r="Q10" s="74"/>
    </row>
    <row r="11" spans="2:17" ht="14.25" thickTop="1">
      <c r="B11" s="4">
        <v>0.375</v>
      </c>
      <c r="C11" s="5">
        <f>IF(ISBLANK(D11), "-", B11+D11)</f>
        <v>0.40625</v>
      </c>
      <c r="D11" s="6">
        <v>3.125E-2</v>
      </c>
      <c r="E11" s="31" t="s">
        <v>87</v>
      </c>
      <c r="F11" s="38" t="str">
        <f>IF(ISBLANK(E11), "", VLOOKUP(E11, 作業リスト!$B$5:$C$60, 2, FALSE))</f>
        <v>調整時間</v>
      </c>
      <c r="G11" s="7" t="s">
        <v>8</v>
      </c>
      <c r="H11" s="25" t="str">
        <f>IF(AND(B11 &lt;= $D$3, $D$3 &lt; C11), "←", "")</f>
        <v/>
      </c>
      <c r="I11" s="18"/>
      <c r="K11" s="41" t="s">
        <v>33</v>
      </c>
      <c r="L11" s="44" t="str">
        <f>IF(ISBLANK(K11), "", VLOOKUP(K11, 作業リスト!$B$5:$C$60, 2, FALSE))</f>
        <v>取組み状況確認</v>
      </c>
      <c r="M11" s="21">
        <v>1.0416666666666666E-2</v>
      </c>
      <c r="O11" s="50" t="s">
        <v>30</v>
      </c>
      <c r="P11" s="51" t="str">
        <f>IF(ISBLANK(O11), "", VLOOKUP(O11, 作業リスト!$B$5:$C$60, 2, FALSE))</f>
        <v>調整時間</v>
      </c>
      <c r="Q11" s="55">
        <f t="shared" ref="Q11:Q18" si="0">IF(ISBLANK(O11), "", SUMIF($F$11:$F$55, P11, $D$11:$D$55))</f>
        <v>3.125E-2</v>
      </c>
    </row>
    <row r="12" spans="2:17">
      <c r="B12" s="8">
        <f>IF(ISBLANK(D11), "-", B11+D11)</f>
        <v>0.40625</v>
      </c>
      <c r="C12" s="9">
        <f>IF(ISBLANK(D12), "-", B12+D12)</f>
        <v>0.44791666666666669</v>
      </c>
      <c r="D12" s="10">
        <v>4.1666666666666664E-2</v>
      </c>
      <c r="E12" s="32" t="s">
        <v>88</v>
      </c>
      <c r="F12" s="39" t="str">
        <f>IF(ISBLANK(E12), "", VLOOKUP(E12, 作業リスト!$B$5:$C$60, 2, FALSE))</f>
        <v>マニュアル調査、アルゴリズム考案</v>
      </c>
      <c r="G12" s="11" t="s">
        <v>9</v>
      </c>
      <c r="H12" s="26" t="str">
        <f t="shared" ref="H12:H55" si="1">IF(AND(B12 &lt;= $D$3, $D$3 &lt; C12), "←", "")</f>
        <v/>
      </c>
      <c r="I12" s="19"/>
      <c r="K12" s="42" t="s">
        <v>31</v>
      </c>
      <c r="L12" s="45" t="str">
        <f>IF(ISBLANK(K12), "", VLOOKUP(K12, 作業リスト!$B$5:$C$60, 2, FALSE))</f>
        <v>マニュアル調査、アルゴリズム考案</v>
      </c>
      <c r="M12" s="22">
        <v>3.125E-2</v>
      </c>
      <c r="O12" s="50" t="s">
        <v>31</v>
      </c>
      <c r="P12" s="49" t="str">
        <f>IF(ISBLANK(O12), "", VLOOKUP(O12, 作業リスト!$B$5:$C$60, 2, FALSE))</f>
        <v>マニュアル調査、アルゴリズム考案</v>
      </c>
      <c r="Q12" s="55">
        <f t="shared" si="0"/>
        <v>0.11458333333333333</v>
      </c>
    </row>
    <row r="13" spans="2:17">
      <c r="B13" s="8">
        <f t="shared" ref="B13:B55" si="2">IF(ISBLANK(D12), "-", B12+D12)</f>
        <v>0.44791666666666669</v>
      </c>
      <c r="C13" s="9">
        <f t="shared" ref="C13:C55" si="3">IF(ISBLANK(D13), "-", B13+D13)</f>
        <v>0.48958333333333337</v>
      </c>
      <c r="D13" s="10">
        <v>4.1666666666666664E-2</v>
      </c>
      <c r="E13" s="32" t="s">
        <v>88</v>
      </c>
      <c r="F13" s="39" t="str">
        <f>IF(ISBLANK(E13), "", VLOOKUP(E13, 作業リスト!$B$5:$C$60, 2, FALSE))</f>
        <v>マニュアル調査、アルゴリズム考案</v>
      </c>
      <c r="G13" s="11" t="s">
        <v>9</v>
      </c>
      <c r="H13" s="26" t="str">
        <f t="shared" si="1"/>
        <v>←</v>
      </c>
      <c r="I13" s="19"/>
      <c r="K13" s="42" t="s">
        <v>32</v>
      </c>
      <c r="L13" s="45" t="str">
        <f>IF(ISBLANK(K13), "", VLOOKUP(K13, 作業リスト!$B$5:$C$60, 2, FALSE))</f>
        <v>システム設計</v>
      </c>
      <c r="M13" s="22">
        <v>2.0833333333333332E-2</v>
      </c>
      <c r="O13" s="50" t="s">
        <v>32</v>
      </c>
      <c r="P13" s="49" t="str">
        <f>IF(ISBLANK(O13), "", VLOOKUP(O13, 作業リスト!$B$5:$C$60, 2, FALSE))</f>
        <v>システム設計</v>
      </c>
      <c r="Q13" s="55">
        <f t="shared" si="0"/>
        <v>3.125E-2</v>
      </c>
    </row>
    <row r="14" spans="2:17">
      <c r="B14" s="8">
        <f t="shared" si="2"/>
        <v>0.48958333333333337</v>
      </c>
      <c r="C14" s="9">
        <f t="shared" si="3"/>
        <v>0.5</v>
      </c>
      <c r="D14" s="10">
        <v>1.0416666666666666E-2</v>
      </c>
      <c r="E14" s="32" t="s">
        <v>89</v>
      </c>
      <c r="F14" s="39" t="str">
        <f>IF(ISBLANK(E14), "", VLOOKUP(E14, 作業リスト!$B$5:$C$60, 2, FALSE))</f>
        <v>システム設計</v>
      </c>
      <c r="G14" s="11" t="s">
        <v>21</v>
      </c>
      <c r="H14" s="26" t="str">
        <f t="shared" si="1"/>
        <v/>
      </c>
      <c r="I14" s="19"/>
      <c r="K14" s="42" t="s">
        <v>34</v>
      </c>
      <c r="L14" s="45" t="str">
        <f>IF(ISBLANK(K14), "", VLOOKUP(K14, 作業リスト!$B$5:$C$60, 2, FALSE))</f>
        <v>フローチャート作成</v>
      </c>
      <c r="M14" s="22">
        <v>4.1666666666666664E-2</v>
      </c>
      <c r="O14" s="50" t="s">
        <v>33</v>
      </c>
      <c r="P14" s="49" t="str">
        <f>IF(ISBLANK(O14), "", VLOOKUP(O14, 作業リスト!$B$5:$C$60, 2, FALSE))</f>
        <v>取組み状況確認</v>
      </c>
      <c r="Q14" s="55">
        <f t="shared" si="0"/>
        <v>1.0416666666666666E-2</v>
      </c>
    </row>
    <row r="15" spans="2:17">
      <c r="B15" s="8">
        <f t="shared" si="2"/>
        <v>0.5</v>
      </c>
      <c r="C15" s="9">
        <f t="shared" si="3"/>
        <v>0.54166666666666663</v>
      </c>
      <c r="D15" s="10">
        <v>4.1666666666666664E-2</v>
      </c>
      <c r="E15" s="32" t="s">
        <v>90</v>
      </c>
      <c r="F15" s="39" t="str">
        <f>IF(ISBLANK(E15), "", VLOOKUP(E15, 作業リスト!$B$5:$C$60, 2, FALSE))</f>
        <v>昼休憩</v>
      </c>
      <c r="G15" s="11" t="s">
        <v>24</v>
      </c>
      <c r="H15" s="26" t="str">
        <f t="shared" si="1"/>
        <v/>
      </c>
      <c r="I15" s="19"/>
      <c r="K15" s="42" t="s">
        <v>35</v>
      </c>
      <c r="L15" s="45" t="str">
        <f>IF(ISBLANK(K15), "", VLOOKUP(K15, 作業リスト!$B$5:$C$60, 2, FALSE))</f>
        <v>進行状況確認・外部レビュー</v>
      </c>
      <c r="M15" s="22">
        <v>6.9444444444444441E-3</v>
      </c>
      <c r="O15" s="50" t="s">
        <v>34</v>
      </c>
      <c r="P15" s="49" t="str">
        <f>IF(ISBLANK(O15), "", VLOOKUP(O15, 作業リスト!$B$5:$C$60, 2, FALSE))</f>
        <v>フローチャート作成</v>
      </c>
      <c r="Q15" s="55">
        <f t="shared" si="0"/>
        <v>6.25E-2</v>
      </c>
    </row>
    <row r="16" spans="2:17">
      <c r="B16" s="8">
        <f t="shared" si="2"/>
        <v>0.54166666666666663</v>
      </c>
      <c r="C16" s="9">
        <f t="shared" si="3"/>
        <v>0.55208333333333326</v>
      </c>
      <c r="D16" s="10">
        <v>1.0416666666666666E-2</v>
      </c>
      <c r="E16" s="32" t="s">
        <v>91</v>
      </c>
      <c r="F16" s="39" t="str">
        <f>IF(ISBLANK(E16), "", VLOOKUP(E16, 作業リスト!$B$5:$C$60, 2, FALSE))</f>
        <v>取組み状況確認</v>
      </c>
      <c r="G16" s="11" t="s">
        <v>24</v>
      </c>
      <c r="H16" s="26" t="str">
        <f t="shared" si="1"/>
        <v/>
      </c>
      <c r="I16" s="19"/>
      <c r="K16" s="42" t="s">
        <v>34</v>
      </c>
      <c r="L16" s="45" t="str">
        <f>IF(ISBLANK(K16), "", VLOOKUP(K16, 作業リスト!$B$5:$C$60, 2, FALSE))</f>
        <v>フローチャート作成</v>
      </c>
      <c r="M16" s="22">
        <v>2.0833333333333332E-2</v>
      </c>
      <c r="O16" s="50" t="s">
        <v>35</v>
      </c>
      <c r="P16" s="49" t="str">
        <f>IF(ISBLANK(O16), "", VLOOKUP(O16, 作業リスト!$B$5:$C$60, 2, FALSE))</f>
        <v>進行状況確認・外部レビュー</v>
      </c>
      <c r="Q16" s="55">
        <f t="shared" si="0"/>
        <v>6.9444444444444441E-3</v>
      </c>
    </row>
    <row r="17" spans="2:17">
      <c r="B17" s="8">
        <f t="shared" si="2"/>
        <v>0.55208333333333326</v>
      </c>
      <c r="C17" s="9">
        <f t="shared" si="3"/>
        <v>0.58333333333333326</v>
      </c>
      <c r="D17" s="10">
        <v>3.125E-2</v>
      </c>
      <c r="E17" s="32" t="s">
        <v>92</v>
      </c>
      <c r="F17" s="39" t="str">
        <f>IF(ISBLANK(E17), "", VLOOKUP(E17, 作業リスト!$B$5:$C$60, 2, FALSE))</f>
        <v>マニュアル調査、アルゴリズム考案</v>
      </c>
      <c r="G17" s="11" t="s">
        <v>21</v>
      </c>
      <c r="H17" s="26" t="str">
        <f t="shared" si="1"/>
        <v/>
      </c>
      <c r="I17" s="19"/>
      <c r="K17" s="42" t="s">
        <v>36</v>
      </c>
      <c r="L17" s="45" t="str">
        <f>IF(ISBLANK(K17), "", VLOOKUP(K17, 作業リスト!$B$5:$C$60, 2, FALSE))</f>
        <v>コーディング</v>
      </c>
      <c r="M17" s="22">
        <v>6.25E-2</v>
      </c>
      <c r="O17" s="50" t="s">
        <v>36</v>
      </c>
      <c r="P17" s="49" t="str">
        <f>IF(ISBLANK(O17), "", VLOOKUP(O17, 作業リスト!$B$5:$C$60, 2, FALSE))</f>
        <v>コーディング</v>
      </c>
      <c r="Q17" s="55">
        <f t="shared" si="0"/>
        <v>6.25E-2</v>
      </c>
    </row>
    <row r="18" spans="2:17">
      <c r="B18" s="8">
        <f t="shared" si="2"/>
        <v>0.58333333333333326</v>
      </c>
      <c r="C18" s="9">
        <f t="shared" si="3"/>
        <v>0.60416666666666663</v>
      </c>
      <c r="D18" s="10">
        <v>2.0833333333333332E-2</v>
      </c>
      <c r="E18" s="32" t="s">
        <v>93</v>
      </c>
      <c r="F18" s="39" t="str">
        <f>IF(ISBLANK(E18), "", VLOOKUP(E18, 作業リスト!$B$5:$C$60, 2, FALSE))</f>
        <v>システム設計</v>
      </c>
      <c r="G18" s="11" t="s">
        <v>21</v>
      </c>
      <c r="H18" s="26" t="str">
        <f t="shared" si="1"/>
        <v/>
      </c>
      <c r="I18" s="19"/>
      <c r="K18" s="42" t="s">
        <v>37</v>
      </c>
      <c r="L18" s="45" t="str">
        <f>IF(ISBLANK(K18), "", VLOOKUP(K18, 作業リスト!$B$5:$C$60, 2, FALSE))</f>
        <v>予備、総括、日報</v>
      </c>
      <c r="M18" s="22">
        <v>1.3888888888888888E-2</v>
      </c>
      <c r="O18" s="50" t="s">
        <v>37</v>
      </c>
      <c r="P18" s="49" t="str">
        <f>IF(ISBLANK(O18), "", VLOOKUP(O18, 作業リスト!$B$5:$C$60, 2, FALSE))</f>
        <v>予備、総括、日報</v>
      </c>
      <c r="Q18" s="55">
        <f t="shared" si="0"/>
        <v>1.3888888888888888E-2</v>
      </c>
    </row>
    <row r="19" spans="2:17">
      <c r="B19" s="8">
        <f t="shared" si="2"/>
        <v>0.60416666666666663</v>
      </c>
      <c r="C19" s="9">
        <f t="shared" si="3"/>
        <v>0.64583333333333326</v>
      </c>
      <c r="D19" s="10">
        <v>4.1666666666666664E-2</v>
      </c>
      <c r="E19" s="32" t="s">
        <v>94</v>
      </c>
      <c r="F19" s="39" t="str">
        <f>IF(ISBLANK(E19), "", VLOOKUP(E19, 作業リスト!$B$5:$C$60, 2, FALSE))</f>
        <v>フローチャート作成</v>
      </c>
      <c r="G19" s="11" t="s">
        <v>21</v>
      </c>
      <c r="H19" s="26" t="str">
        <f t="shared" si="1"/>
        <v/>
      </c>
      <c r="I19" s="19"/>
      <c r="K19" s="42"/>
      <c r="L19" s="45" t="str">
        <f>IF(ISBLANK(K19), "", VLOOKUP(K19, 作業リスト!$B$5:$C$60, 2, FALSE))</f>
        <v/>
      </c>
      <c r="M19" s="22"/>
      <c r="O19" s="48" t="s">
        <v>115</v>
      </c>
      <c r="P19" s="49" t="str">
        <f>IF(ISBLANK(O19), "", VLOOKUP(O19, 作業リスト!$B$5:$C$60, 2, FALSE))</f>
        <v>昼休憩</v>
      </c>
      <c r="Q19" s="55">
        <f t="shared" ref="Q19:Q55" si="4">IF(ISBLANK(O19), "", SUMIF($F$11:$F$55, P19, $D$11:$D$55))</f>
        <v>4.1666666666666664E-2</v>
      </c>
    </row>
    <row r="20" spans="2:17">
      <c r="B20" s="8">
        <f t="shared" si="2"/>
        <v>0.64583333333333326</v>
      </c>
      <c r="C20" s="9">
        <f t="shared" si="3"/>
        <v>0.65277777777777768</v>
      </c>
      <c r="D20" s="10">
        <v>6.9444444444444441E-3</v>
      </c>
      <c r="E20" s="32" t="s">
        <v>95</v>
      </c>
      <c r="F20" s="39" t="str">
        <f>IF(ISBLANK(E20), "", VLOOKUP(E20, 作業リスト!$B$5:$C$60, 2, FALSE))</f>
        <v>進行状況確認・外部レビュー</v>
      </c>
      <c r="G20" s="11" t="s">
        <v>21</v>
      </c>
      <c r="H20" s="26" t="str">
        <f t="shared" si="1"/>
        <v/>
      </c>
      <c r="I20" s="19"/>
      <c r="K20" s="42"/>
      <c r="L20" s="45" t="str">
        <f>IF(ISBLANK(K20), "", VLOOKUP(K20, 作業リスト!$B$5:$C$60, 2, FALSE))</f>
        <v/>
      </c>
      <c r="M20" s="22"/>
      <c r="O20" s="48" t="s">
        <v>116</v>
      </c>
      <c r="P20" s="49" t="str">
        <f>IF(ISBLANK(O20), "", VLOOKUP(O20, 作業リスト!$B$5:$C$60, 2, FALSE))</f>
        <v>&lt;&lt; -- 終了 -- &gt;&gt;</v>
      </c>
      <c r="Q20" s="55">
        <f t="shared" si="4"/>
        <v>0</v>
      </c>
    </row>
    <row r="21" spans="2:17">
      <c r="B21" s="8">
        <f t="shared" si="2"/>
        <v>0.65277777777777768</v>
      </c>
      <c r="C21" s="9">
        <f t="shared" si="3"/>
        <v>0.67361111111111105</v>
      </c>
      <c r="D21" s="10">
        <v>2.0833333333333332E-2</v>
      </c>
      <c r="E21" s="32" t="s">
        <v>94</v>
      </c>
      <c r="F21" s="39" t="str">
        <f>IF(ISBLANK(E21), "", VLOOKUP(E21, 作業リスト!$B$5:$C$60, 2, FALSE))</f>
        <v>フローチャート作成</v>
      </c>
      <c r="G21" s="11" t="s">
        <v>21</v>
      </c>
      <c r="H21" s="26" t="str">
        <f t="shared" si="1"/>
        <v/>
      </c>
      <c r="I21" s="19"/>
      <c r="K21" s="42"/>
      <c r="L21" s="45" t="str">
        <f>IF(ISBLANK(K21), "", VLOOKUP(K21, 作業リスト!$B$5:$C$60, 2, FALSE))</f>
        <v/>
      </c>
      <c r="M21" s="22"/>
      <c r="O21" s="48"/>
      <c r="P21" s="49" t="str">
        <f>IF(ISBLANK(O21), "", VLOOKUP(O21, 作業リスト!$B$5:$C$60, 2, FALSE))</f>
        <v/>
      </c>
      <c r="Q21" s="55" t="str">
        <f t="shared" si="4"/>
        <v/>
      </c>
    </row>
    <row r="22" spans="2:17">
      <c r="B22" s="8">
        <f t="shared" si="2"/>
        <v>0.67361111111111105</v>
      </c>
      <c r="C22" s="9">
        <f t="shared" si="3"/>
        <v>0.73611111111111105</v>
      </c>
      <c r="D22" s="10">
        <v>6.25E-2</v>
      </c>
      <c r="E22" s="32" t="s">
        <v>96</v>
      </c>
      <c r="F22" s="39" t="str">
        <f>IF(ISBLANK(E22), "", VLOOKUP(E22, 作業リスト!$B$5:$C$60, 2, FALSE))</f>
        <v>コーディング</v>
      </c>
      <c r="G22" s="11" t="s">
        <v>12</v>
      </c>
      <c r="H22" s="26" t="str">
        <f t="shared" si="1"/>
        <v/>
      </c>
      <c r="I22" s="19"/>
      <c r="K22" s="42"/>
      <c r="L22" s="45" t="str">
        <f>IF(ISBLANK(K22), "", VLOOKUP(K22, 作業リスト!$B$5:$C$60, 2, FALSE))</f>
        <v/>
      </c>
      <c r="M22" s="22"/>
      <c r="O22" s="48"/>
      <c r="P22" s="49" t="str">
        <f>IF(ISBLANK(O22), "", VLOOKUP(O22, 作業リスト!$B$5:$C$60, 2, FALSE))</f>
        <v/>
      </c>
      <c r="Q22" s="55" t="str">
        <f t="shared" ref="Q22:Q29" si="5">IF(ISBLANK(O22), "", SUMIF($F$11:$F$55, P22, $D$11:$D$55))</f>
        <v/>
      </c>
    </row>
    <row r="23" spans="2:17">
      <c r="B23" s="8">
        <f t="shared" si="2"/>
        <v>0.73611111111111105</v>
      </c>
      <c r="C23" s="9">
        <f t="shared" si="3"/>
        <v>0.74999999999999989</v>
      </c>
      <c r="D23" s="10">
        <v>1.3888888888888888E-2</v>
      </c>
      <c r="E23" s="32" t="s">
        <v>97</v>
      </c>
      <c r="F23" s="39" t="str">
        <f>IF(ISBLANK(E23), "", VLOOKUP(E23, 作業リスト!$B$5:$C$60, 2, FALSE))</f>
        <v>予備、総括、日報</v>
      </c>
      <c r="G23" s="11" t="s">
        <v>12</v>
      </c>
      <c r="H23" s="26" t="str">
        <f t="shared" si="1"/>
        <v/>
      </c>
      <c r="I23" s="19"/>
      <c r="K23" s="42"/>
      <c r="L23" s="45" t="str">
        <f>IF(ISBLANK(K23), "", VLOOKUP(K23, 作業リスト!$B$5:$C$60, 2, FALSE))</f>
        <v/>
      </c>
      <c r="M23" s="22"/>
      <c r="O23" s="48"/>
      <c r="P23" s="49" t="str">
        <f>IF(ISBLANK(O23), "", VLOOKUP(O23, 作業リスト!$B$5:$C$60, 2, FALSE))</f>
        <v/>
      </c>
      <c r="Q23" s="55" t="str">
        <f t="shared" si="5"/>
        <v/>
      </c>
    </row>
    <row r="24" spans="2:17">
      <c r="B24" s="8">
        <f t="shared" si="2"/>
        <v>0.74999999999999989</v>
      </c>
      <c r="C24" s="9" t="str">
        <f t="shared" si="3"/>
        <v>-</v>
      </c>
      <c r="D24" s="10"/>
      <c r="E24" s="32" t="s">
        <v>27</v>
      </c>
      <c r="F24" s="39" t="str">
        <f>IF(ISBLANK(E24), "", VLOOKUP(E24, 作業リスト!$B$5:$C$60, 2, FALSE))</f>
        <v>&lt;&lt; -- 終了 -- &gt;&gt;</v>
      </c>
      <c r="G24" s="11"/>
      <c r="H24" s="26" t="str">
        <f t="shared" si="1"/>
        <v/>
      </c>
      <c r="I24" s="19"/>
      <c r="K24" s="42"/>
      <c r="L24" s="45" t="str">
        <f>IF(ISBLANK(K24), "", VLOOKUP(K24, 作業リスト!$B$5:$C$60, 2, FALSE))</f>
        <v/>
      </c>
      <c r="M24" s="22"/>
      <c r="O24" s="48"/>
      <c r="P24" s="49" t="str">
        <f>IF(ISBLANK(O24), "", VLOOKUP(O24, 作業リスト!$B$5:$C$60, 2, FALSE))</f>
        <v/>
      </c>
      <c r="Q24" s="55" t="str">
        <f t="shared" si="5"/>
        <v/>
      </c>
    </row>
    <row r="25" spans="2:17">
      <c r="B25" s="8" t="str">
        <f t="shared" si="2"/>
        <v>-</v>
      </c>
      <c r="C25" s="9" t="str">
        <f t="shared" si="3"/>
        <v>-</v>
      </c>
      <c r="D25" s="12"/>
      <c r="E25" s="33"/>
      <c r="F25" s="39" t="str">
        <f>IF(ISBLANK(E25), "", VLOOKUP(E25, 作業リスト!$B$5:$C$60, 2, FALSE))</f>
        <v/>
      </c>
      <c r="G25" s="11"/>
      <c r="H25" s="26" t="str">
        <f t="shared" si="1"/>
        <v/>
      </c>
      <c r="I25" s="19"/>
      <c r="K25" s="42"/>
      <c r="L25" s="45" t="str">
        <f>IF(ISBLANK(K25), "", VLOOKUP(K25, 作業リスト!$B$5:$C$60, 2, FALSE))</f>
        <v/>
      </c>
      <c r="M25" s="22"/>
      <c r="O25" s="48"/>
      <c r="P25" s="49" t="str">
        <f>IF(ISBLANK(O25), "", VLOOKUP(O25, 作業リスト!$B$5:$C$60, 2, FALSE))</f>
        <v/>
      </c>
      <c r="Q25" s="55" t="str">
        <f t="shared" si="5"/>
        <v/>
      </c>
    </row>
    <row r="26" spans="2:17">
      <c r="B26" s="8" t="str">
        <f t="shared" si="2"/>
        <v>-</v>
      </c>
      <c r="C26" s="9" t="str">
        <f t="shared" si="3"/>
        <v>-</v>
      </c>
      <c r="D26" s="12"/>
      <c r="E26" s="33"/>
      <c r="F26" s="39" t="str">
        <f>IF(ISBLANK(E26), "", VLOOKUP(E26, 作業リスト!$B$5:$C$60, 2, FALSE))</f>
        <v/>
      </c>
      <c r="G26" s="11"/>
      <c r="H26" s="26" t="str">
        <f t="shared" si="1"/>
        <v/>
      </c>
      <c r="I26" s="19"/>
      <c r="K26" s="42"/>
      <c r="L26" s="45" t="str">
        <f>IF(ISBLANK(K26), "", VLOOKUP(K26, 作業リスト!$B$5:$C$60, 2, FALSE))</f>
        <v/>
      </c>
      <c r="M26" s="22"/>
      <c r="O26" s="48"/>
      <c r="P26" s="49" t="str">
        <f>IF(ISBLANK(O26), "", VLOOKUP(O26, 作業リスト!$B$5:$C$60, 2, FALSE))</f>
        <v/>
      </c>
      <c r="Q26" s="55" t="str">
        <f t="shared" si="5"/>
        <v/>
      </c>
    </row>
    <row r="27" spans="2:17">
      <c r="B27" s="8" t="str">
        <f t="shared" si="2"/>
        <v>-</v>
      </c>
      <c r="C27" s="9" t="str">
        <f t="shared" si="3"/>
        <v>-</v>
      </c>
      <c r="D27" s="12"/>
      <c r="E27" s="33"/>
      <c r="F27" s="39" t="str">
        <f>IF(ISBLANK(E27), "", VLOOKUP(E27, 作業リスト!$B$5:$C$60, 2, FALSE))</f>
        <v/>
      </c>
      <c r="G27" s="11"/>
      <c r="H27" s="26" t="str">
        <f t="shared" si="1"/>
        <v/>
      </c>
      <c r="I27" s="19"/>
      <c r="K27" s="42"/>
      <c r="L27" s="45" t="str">
        <f>IF(ISBLANK(K27), "", VLOOKUP(K27, 作業リスト!$B$5:$C$60, 2, FALSE))</f>
        <v/>
      </c>
      <c r="M27" s="22"/>
      <c r="O27" s="48"/>
      <c r="P27" s="49" t="str">
        <f>IF(ISBLANK(O27), "", VLOOKUP(O27, 作業リスト!$B$5:$C$60, 2, FALSE))</f>
        <v/>
      </c>
      <c r="Q27" s="55" t="str">
        <f t="shared" si="5"/>
        <v/>
      </c>
    </row>
    <row r="28" spans="2:17">
      <c r="B28" s="8" t="str">
        <f t="shared" si="2"/>
        <v>-</v>
      </c>
      <c r="C28" s="9" t="str">
        <f t="shared" si="3"/>
        <v>-</v>
      </c>
      <c r="D28" s="12"/>
      <c r="E28" s="33"/>
      <c r="F28" s="39" t="str">
        <f>IF(ISBLANK(E28), "", VLOOKUP(E28, 作業リスト!$B$5:$C$60, 2, FALSE))</f>
        <v/>
      </c>
      <c r="G28" s="11"/>
      <c r="H28" s="26" t="str">
        <f t="shared" si="1"/>
        <v/>
      </c>
      <c r="I28" s="19"/>
      <c r="K28" s="42"/>
      <c r="L28" s="45" t="str">
        <f>IF(ISBLANK(K28), "", VLOOKUP(K28, 作業リスト!$B$5:$C$60, 2, FALSE))</f>
        <v/>
      </c>
      <c r="M28" s="22"/>
      <c r="O28" s="48"/>
      <c r="P28" s="49" t="str">
        <f>IF(ISBLANK(O28), "", VLOOKUP(O28, 作業リスト!$B$5:$C$60, 2, FALSE))</f>
        <v/>
      </c>
      <c r="Q28" s="55" t="str">
        <f t="shared" si="5"/>
        <v/>
      </c>
    </row>
    <row r="29" spans="2:17">
      <c r="B29" s="8" t="str">
        <f t="shared" si="2"/>
        <v>-</v>
      </c>
      <c r="C29" s="9" t="str">
        <f t="shared" si="3"/>
        <v>-</v>
      </c>
      <c r="D29" s="12"/>
      <c r="E29" s="33"/>
      <c r="F29" s="39" t="str">
        <f>IF(ISBLANK(E29), "", VLOOKUP(E29, 作業リスト!$B$5:$C$60, 2, FALSE))</f>
        <v/>
      </c>
      <c r="G29" s="11"/>
      <c r="H29" s="26" t="str">
        <f t="shared" si="1"/>
        <v/>
      </c>
      <c r="I29" s="19"/>
      <c r="K29" s="42"/>
      <c r="L29" s="45" t="str">
        <f>IF(ISBLANK(K29), "", VLOOKUP(K29, 作業リスト!$B$5:$C$60, 2, FALSE))</f>
        <v/>
      </c>
      <c r="M29" s="22"/>
      <c r="O29" s="48"/>
      <c r="P29" s="49" t="str">
        <f>IF(ISBLANK(O29), "", VLOOKUP(O29, 作業リスト!$B$5:$C$60, 2, FALSE))</f>
        <v/>
      </c>
      <c r="Q29" s="55" t="str">
        <f t="shared" si="5"/>
        <v/>
      </c>
    </row>
    <row r="30" spans="2:17">
      <c r="B30" s="8" t="str">
        <f t="shared" si="2"/>
        <v>-</v>
      </c>
      <c r="C30" s="9" t="str">
        <f t="shared" si="3"/>
        <v>-</v>
      </c>
      <c r="D30" s="12"/>
      <c r="E30" s="33"/>
      <c r="F30" s="39" t="str">
        <f>IF(ISBLANK(E30), "", VLOOKUP(E30, 作業リスト!$B$5:$C$60, 2, FALSE))</f>
        <v/>
      </c>
      <c r="G30" s="11"/>
      <c r="H30" s="26" t="str">
        <f t="shared" si="1"/>
        <v/>
      </c>
      <c r="I30" s="19"/>
      <c r="K30" s="42"/>
      <c r="L30" s="45" t="str">
        <f>IF(ISBLANK(K30), "", VLOOKUP(K30, 作業リスト!$B$5:$C$60, 2, FALSE))</f>
        <v/>
      </c>
      <c r="M30" s="22"/>
      <c r="O30" s="48"/>
      <c r="P30" s="49" t="str">
        <f>IF(ISBLANK(O30), "", VLOOKUP(O30, 作業リスト!$B$5:$C$60, 2, FALSE))</f>
        <v/>
      </c>
      <c r="Q30" s="55" t="str">
        <f t="shared" si="4"/>
        <v/>
      </c>
    </row>
    <row r="31" spans="2:17">
      <c r="B31" s="8" t="str">
        <f t="shared" si="2"/>
        <v>-</v>
      </c>
      <c r="C31" s="9" t="str">
        <f t="shared" si="3"/>
        <v>-</v>
      </c>
      <c r="D31" s="12"/>
      <c r="E31" s="33"/>
      <c r="F31" s="39" t="str">
        <f>IF(ISBLANK(E31), "", VLOOKUP(E31, 作業リスト!$B$5:$C$60, 2, FALSE))</f>
        <v/>
      </c>
      <c r="G31" s="11"/>
      <c r="H31" s="26" t="str">
        <f t="shared" si="1"/>
        <v/>
      </c>
      <c r="I31" s="19"/>
      <c r="K31" s="42"/>
      <c r="L31" s="45" t="str">
        <f>IF(ISBLANK(K31), "", VLOOKUP(K31, 作業リスト!$B$5:$C$60, 2, FALSE))</f>
        <v/>
      </c>
      <c r="M31" s="22"/>
      <c r="O31" s="48"/>
      <c r="P31" s="49" t="str">
        <f>IF(ISBLANK(O31), "", VLOOKUP(O31, 作業リスト!$B$5:$C$60, 2, FALSE))</f>
        <v/>
      </c>
      <c r="Q31" s="55" t="str">
        <f t="shared" si="4"/>
        <v/>
      </c>
    </row>
    <row r="32" spans="2:17">
      <c r="B32" s="8" t="str">
        <f t="shared" si="2"/>
        <v>-</v>
      </c>
      <c r="C32" s="9" t="str">
        <f t="shared" si="3"/>
        <v>-</v>
      </c>
      <c r="D32" s="12"/>
      <c r="E32" s="33"/>
      <c r="F32" s="39" t="str">
        <f>IF(ISBLANK(E32), "", VLOOKUP(E32, 作業リスト!$B$5:$C$60, 2, FALSE))</f>
        <v/>
      </c>
      <c r="G32" s="11"/>
      <c r="H32" s="26" t="str">
        <f t="shared" si="1"/>
        <v/>
      </c>
      <c r="I32" s="19"/>
      <c r="K32" s="42"/>
      <c r="L32" s="45" t="str">
        <f>IF(ISBLANK(K32), "", VLOOKUP(K32, 作業リスト!$B$5:$C$60, 2, FALSE))</f>
        <v/>
      </c>
      <c r="M32" s="22"/>
      <c r="O32" s="48"/>
      <c r="P32" s="49" t="str">
        <f>IF(ISBLANK(O32), "", VLOOKUP(O32, 作業リスト!$B$5:$C$60, 2, FALSE))</f>
        <v/>
      </c>
      <c r="Q32" s="55" t="str">
        <f t="shared" si="4"/>
        <v/>
      </c>
    </row>
    <row r="33" spans="2:17">
      <c r="B33" s="8" t="str">
        <f t="shared" si="2"/>
        <v>-</v>
      </c>
      <c r="C33" s="9" t="str">
        <f t="shared" si="3"/>
        <v>-</v>
      </c>
      <c r="D33" s="12"/>
      <c r="E33" s="33"/>
      <c r="F33" s="39" t="str">
        <f>IF(ISBLANK(E33), "", VLOOKUP(E33, 作業リスト!$B$5:$C$60, 2, FALSE))</f>
        <v/>
      </c>
      <c r="G33" s="11"/>
      <c r="H33" s="26" t="str">
        <f t="shared" si="1"/>
        <v/>
      </c>
      <c r="I33" s="19"/>
      <c r="K33" s="42"/>
      <c r="L33" s="45" t="str">
        <f>IF(ISBLANK(K33), "", VLOOKUP(K33, 作業リスト!$B$5:$C$60, 2, FALSE))</f>
        <v/>
      </c>
      <c r="M33" s="22"/>
      <c r="O33" s="48"/>
      <c r="P33" s="49" t="str">
        <f>IF(ISBLANK(O33), "", VLOOKUP(O33, 作業リスト!$B$5:$C$60, 2, FALSE))</f>
        <v/>
      </c>
      <c r="Q33" s="55" t="str">
        <f t="shared" si="4"/>
        <v/>
      </c>
    </row>
    <row r="34" spans="2:17">
      <c r="B34" s="8" t="str">
        <f t="shared" si="2"/>
        <v>-</v>
      </c>
      <c r="C34" s="9" t="str">
        <f t="shared" si="3"/>
        <v>-</v>
      </c>
      <c r="D34" s="12"/>
      <c r="E34" s="33"/>
      <c r="F34" s="39" t="str">
        <f>IF(ISBLANK(E34), "", VLOOKUP(E34, 作業リスト!$B$5:$C$60, 2, FALSE))</f>
        <v/>
      </c>
      <c r="G34" s="11"/>
      <c r="H34" s="26" t="str">
        <f t="shared" si="1"/>
        <v/>
      </c>
      <c r="I34" s="19"/>
      <c r="K34" s="42"/>
      <c r="L34" s="45" t="str">
        <f>IF(ISBLANK(K34), "", VLOOKUP(K34, 作業リスト!$B$5:$C$60, 2, FALSE))</f>
        <v/>
      </c>
      <c r="M34" s="22"/>
      <c r="O34" s="48"/>
      <c r="P34" s="49" t="str">
        <f>IF(ISBLANK(O34), "", VLOOKUP(O34, 作業リスト!$B$5:$C$60, 2, FALSE))</f>
        <v/>
      </c>
      <c r="Q34" s="55" t="str">
        <f t="shared" si="4"/>
        <v/>
      </c>
    </row>
    <row r="35" spans="2:17">
      <c r="B35" s="8" t="str">
        <f t="shared" si="2"/>
        <v>-</v>
      </c>
      <c r="C35" s="9" t="str">
        <f t="shared" si="3"/>
        <v>-</v>
      </c>
      <c r="D35" s="12"/>
      <c r="E35" s="33"/>
      <c r="F35" s="39" t="str">
        <f>IF(ISBLANK(E35), "", VLOOKUP(E35, 作業リスト!$B$5:$C$60, 2, FALSE))</f>
        <v/>
      </c>
      <c r="G35" s="11"/>
      <c r="H35" s="26" t="str">
        <f t="shared" si="1"/>
        <v/>
      </c>
      <c r="I35" s="19"/>
      <c r="K35" s="42"/>
      <c r="L35" s="45" t="str">
        <f>IF(ISBLANK(K35), "", VLOOKUP(K35, 作業リスト!$B$5:$C$60, 2, FALSE))</f>
        <v/>
      </c>
      <c r="M35" s="22"/>
      <c r="O35" s="48"/>
      <c r="P35" s="49" t="str">
        <f>IF(ISBLANK(O35), "", VLOOKUP(O35, 作業リスト!$B$5:$C$60, 2, FALSE))</f>
        <v/>
      </c>
      <c r="Q35" s="55" t="str">
        <f t="shared" si="4"/>
        <v/>
      </c>
    </row>
    <row r="36" spans="2:17">
      <c r="B36" s="8" t="str">
        <f t="shared" si="2"/>
        <v>-</v>
      </c>
      <c r="C36" s="9" t="str">
        <f t="shared" si="3"/>
        <v>-</v>
      </c>
      <c r="D36" s="12"/>
      <c r="E36" s="33"/>
      <c r="F36" s="39" t="str">
        <f>IF(ISBLANK(E36), "", VLOOKUP(E36, 作業リスト!$B$5:$C$60, 2, FALSE))</f>
        <v/>
      </c>
      <c r="G36" s="11"/>
      <c r="H36" s="26" t="str">
        <f t="shared" si="1"/>
        <v/>
      </c>
      <c r="I36" s="19"/>
      <c r="K36" s="42"/>
      <c r="L36" s="45" t="str">
        <f>IF(ISBLANK(K36), "", VLOOKUP(K36, 作業リスト!$B$5:$C$60, 2, FALSE))</f>
        <v/>
      </c>
      <c r="M36" s="22"/>
      <c r="O36" s="48"/>
      <c r="P36" s="49" t="str">
        <f>IF(ISBLANK(O36), "", VLOOKUP(O36, 作業リスト!$B$5:$C$60, 2, FALSE))</f>
        <v/>
      </c>
      <c r="Q36" s="55" t="str">
        <f t="shared" si="4"/>
        <v/>
      </c>
    </row>
    <row r="37" spans="2:17">
      <c r="B37" s="8" t="str">
        <f t="shared" si="2"/>
        <v>-</v>
      </c>
      <c r="C37" s="9" t="str">
        <f t="shared" si="3"/>
        <v>-</v>
      </c>
      <c r="D37" s="12"/>
      <c r="E37" s="33"/>
      <c r="F37" s="39" t="str">
        <f>IF(ISBLANK(E37), "", VLOOKUP(E37, 作業リスト!$B$5:$C$60, 2, FALSE))</f>
        <v/>
      </c>
      <c r="G37" s="11"/>
      <c r="H37" s="26" t="str">
        <f t="shared" si="1"/>
        <v/>
      </c>
      <c r="I37" s="19"/>
      <c r="K37" s="42"/>
      <c r="L37" s="45" t="str">
        <f>IF(ISBLANK(K37), "", VLOOKUP(K37, 作業リスト!$B$5:$C$60, 2, FALSE))</f>
        <v/>
      </c>
      <c r="M37" s="22"/>
      <c r="O37" s="48"/>
      <c r="P37" s="49" t="str">
        <f>IF(ISBLANK(O37), "", VLOOKUP(O37, 作業リスト!$B$5:$C$60, 2, FALSE))</f>
        <v/>
      </c>
      <c r="Q37" s="55" t="str">
        <f t="shared" si="4"/>
        <v/>
      </c>
    </row>
    <row r="38" spans="2:17">
      <c r="B38" s="8" t="str">
        <f t="shared" si="2"/>
        <v>-</v>
      </c>
      <c r="C38" s="9" t="str">
        <f t="shared" si="3"/>
        <v>-</v>
      </c>
      <c r="D38" s="12"/>
      <c r="E38" s="33"/>
      <c r="F38" s="39" t="str">
        <f>IF(ISBLANK(E38), "", VLOOKUP(E38, 作業リスト!$B$5:$C$60, 2, FALSE))</f>
        <v/>
      </c>
      <c r="G38" s="11"/>
      <c r="H38" s="26" t="str">
        <f t="shared" si="1"/>
        <v/>
      </c>
      <c r="I38" s="19"/>
      <c r="K38" s="42"/>
      <c r="L38" s="45" t="str">
        <f>IF(ISBLANK(K38), "", VLOOKUP(K38, 作業リスト!$B$5:$C$60, 2, FALSE))</f>
        <v/>
      </c>
      <c r="M38" s="22"/>
      <c r="O38" s="48"/>
      <c r="P38" s="49" t="str">
        <f>IF(ISBLANK(O38), "", VLOOKUP(O38, 作業リスト!$B$5:$C$60, 2, FALSE))</f>
        <v/>
      </c>
      <c r="Q38" s="55" t="str">
        <f t="shared" si="4"/>
        <v/>
      </c>
    </row>
    <row r="39" spans="2:17">
      <c r="B39" s="8" t="str">
        <f t="shared" si="2"/>
        <v>-</v>
      </c>
      <c r="C39" s="9" t="str">
        <f t="shared" si="3"/>
        <v>-</v>
      </c>
      <c r="D39" s="12"/>
      <c r="E39" s="33"/>
      <c r="F39" s="39" t="str">
        <f>IF(ISBLANK(E39), "", VLOOKUP(E39, 作業リスト!$B$5:$C$60, 2, FALSE))</f>
        <v/>
      </c>
      <c r="G39" s="11"/>
      <c r="H39" s="26" t="str">
        <f t="shared" si="1"/>
        <v/>
      </c>
      <c r="I39" s="19"/>
      <c r="K39" s="42"/>
      <c r="L39" s="45" t="str">
        <f>IF(ISBLANK(K39), "", VLOOKUP(K39, 作業リスト!$B$5:$C$60, 2, FALSE))</f>
        <v/>
      </c>
      <c r="M39" s="22"/>
      <c r="O39" s="48"/>
      <c r="P39" s="49" t="str">
        <f>IF(ISBLANK(O39), "", VLOOKUP(O39, 作業リスト!$B$5:$C$60, 2, FALSE))</f>
        <v/>
      </c>
      <c r="Q39" s="55" t="str">
        <f t="shared" si="4"/>
        <v/>
      </c>
    </row>
    <row r="40" spans="2:17">
      <c r="B40" s="8" t="str">
        <f t="shared" si="2"/>
        <v>-</v>
      </c>
      <c r="C40" s="9" t="str">
        <f t="shared" si="3"/>
        <v>-</v>
      </c>
      <c r="D40" s="12"/>
      <c r="E40" s="33"/>
      <c r="F40" s="39" t="str">
        <f>IF(ISBLANK(E40), "", VLOOKUP(E40, 作業リスト!$B$5:$C$60, 2, FALSE))</f>
        <v/>
      </c>
      <c r="G40" s="11"/>
      <c r="H40" s="26" t="str">
        <f t="shared" si="1"/>
        <v/>
      </c>
      <c r="I40" s="19"/>
      <c r="K40" s="42"/>
      <c r="L40" s="45" t="str">
        <f>IF(ISBLANK(K40), "", VLOOKUP(K40, 作業リスト!$B$5:$C$60, 2, FALSE))</f>
        <v/>
      </c>
      <c r="M40" s="22"/>
      <c r="O40" s="48"/>
      <c r="P40" s="49" t="str">
        <f>IF(ISBLANK(O40), "", VLOOKUP(O40, 作業リスト!$B$5:$C$60, 2, FALSE))</f>
        <v/>
      </c>
      <c r="Q40" s="55" t="str">
        <f t="shared" si="4"/>
        <v/>
      </c>
    </row>
    <row r="41" spans="2:17">
      <c r="B41" s="8" t="str">
        <f t="shared" si="2"/>
        <v>-</v>
      </c>
      <c r="C41" s="9" t="str">
        <f t="shared" si="3"/>
        <v>-</v>
      </c>
      <c r="D41" s="12"/>
      <c r="E41" s="33"/>
      <c r="F41" s="39" t="str">
        <f>IF(ISBLANK(E41), "", VLOOKUP(E41, 作業リスト!$B$5:$C$60, 2, FALSE))</f>
        <v/>
      </c>
      <c r="G41" s="11"/>
      <c r="H41" s="26" t="str">
        <f t="shared" si="1"/>
        <v/>
      </c>
      <c r="I41" s="19"/>
      <c r="K41" s="42"/>
      <c r="L41" s="45" t="str">
        <f>IF(ISBLANK(K41), "", VLOOKUP(K41, 作業リスト!$B$5:$C$60, 2, FALSE))</f>
        <v/>
      </c>
      <c r="M41" s="22"/>
      <c r="O41" s="48"/>
      <c r="P41" s="49" t="str">
        <f>IF(ISBLANK(O41), "", VLOOKUP(O41, 作業リスト!$B$5:$C$60, 2, FALSE))</f>
        <v/>
      </c>
      <c r="Q41" s="55" t="str">
        <f t="shared" si="4"/>
        <v/>
      </c>
    </row>
    <row r="42" spans="2:17">
      <c r="B42" s="8" t="str">
        <f t="shared" si="2"/>
        <v>-</v>
      </c>
      <c r="C42" s="9" t="str">
        <f t="shared" si="3"/>
        <v>-</v>
      </c>
      <c r="D42" s="12"/>
      <c r="E42" s="33"/>
      <c r="F42" s="39" t="str">
        <f>IF(ISBLANK(E42), "", VLOOKUP(E42, 作業リスト!$B$5:$C$60, 2, FALSE))</f>
        <v/>
      </c>
      <c r="G42" s="11"/>
      <c r="H42" s="26" t="str">
        <f t="shared" si="1"/>
        <v/>
      </c>
      <c r="I42" s="19"/>
      <c r="K42" s="42"/>
      <c r="L42" s="45" t="str">
        <f>IF(ISBLANK(K42), "", VLOOKUP(K42, 作業リスト!$B$5:$C$60, 2, FALSE))</f>
        <v/>
      </c>
      <c r="M42" s="22"/>
      <c r="O42" s="48"/>
      <c r="P42" s="49" t="str">
        <f>IF(ISBLANK(O42), "", VLOOKUP(O42, 作業リスト!$B$5:$C$60, 2, FALSE))</f>
        <v/>
      </c>
      <c r="Q42" s="55" t="str">
        <f t="shared" si="4"/>
        <v/>
      </c>
    </row>
    <row r="43" spans="2:17">
      <c r="B43" s="8" t="str">
        <f t="shared" si="2"/>
        <v>-</v>
      </c>
      <c r="C43" s="9" t="str">
        <f t="shared" si="3"/>
        <v>-</v>
      </c>
      <c r="D43" s="12"/>
      <c r="E43" s="33"/>
      <c r="F43" s="39" t="str">
        <f>IF(ISBLANK(E43), "", VLOOKUP(E43, 作業リスト!$B$5:$C$60, 2, FALSE))</f>
        <v/>
      </c>
      <c r="G43" s="11"/>
      <c r="H43" s="26" t="str">
        <f t="shared" si="1"/>
        <v/>
      </c>
      <c r="I43" s="19"/>
      <c r="K43" s="42"/>
      <c r="L43" s="45" t="str">
        <f>IF(ISBLANK(K43), "", VLOOKUP(K43, 作業リスト!$B$5:$C$60, 2, FALSE))</f>
        <v/>
      </c>
      <c r="M43" s="22"/>
      <c r="O43" s="48"/>
      <c r="P43" s="49" t="str">
        <f>IF(ISBLANK(O43), "", VLOOKUP(O43, 作業リスト!$B$5:$C$60, 2, FALSE))</f>
        <v/>
      </c>
      <c r="Q43" s="55" t="str">
        <f t="shared" si="4"/>
        <v/>
      </c>
    </row>
    <row r="44" spans="2:17">
      <c r="B44" s="8" t="str">
        <f t="shared" si="2"/>
        <v>-</v>
      </c>
      <c r="C44" s="9" t="str">
        <f t="shared" si="3"/>
        <v>-</v>
      </c>
      <c r="D44" s="12"/>
      <c r="E44" s="33"/>
      <c r="F44" s="39" t="str">
        <f>IF(ISBLANK(E44), "", VLOOKUP(E44, 作業リスト!$B$5:$C$60, 2, FALSE))</f>
        <v/>
      </c>
      <c r="G44" s="11"/>
      <c r="H44" s="26" t="str">
        <f t="shared" si="1"/>
        <v/>
      </c>
      <c r="I44" s="19"/>
      <c r="K44" s="42"/>
      <c r="L44" s="45" t="str">
        <f>IF(ISBLANK(K44), "", VLOOKUP(K44, 作業リスト!$B$5:$C$60, 2, FALSE))</f>
        <v/>
      </c>
      <c r="M44" s="22"/>
      <c r="O44" s="48"/>
      <c r="P44" s="49" t="str">
        <f>IF(ISBLANK(O44), "", VLOOKUP(O44, 作業リスト!$B$5:$C$60, 2, FALSE))</f>
        <v/>
      </c>
      <c r="Q44" s="55" t="str">
        <f t="shared" si="4"/>
        <v/>
      </c>
    </row>
    <row r="45" spans="2:17">
      <c r="B45" s="8" t="str">
        <f t="shared" si="2"/>
        <v>-</v>
      </c>
      <c r="C45" s="9" t="str">
        <f t="shared" si="3"/>
        <v>-</v>
      </c>
      <c r="D45" s="12"/>
      <c r="E45" s="33"/>
      <c r="F45" s="39" t="str">
        <f>IF(ISBLANK(E45), "", VLOOKUP(E45, 作業リスト!$B$5:$C$60, 2, FALSE))</f>
        <v/>
      </c>
      <c r="G45" s="11"/>
      <c r="H45" s="26" t="str">
        <f t="shared" si="1"/>
        <v/>
      </c>
      <c r="I45" s="19"/>
      <c r="K45" s="42"/>
      <c r="L45" s="45" t="str">
        <f>IF(ISBLANK(K45), "", VLOOKUP(K45, 作業リスト!$B$5:$C$60, 2, FALSE))</f>
        <v/>
      </c>
      <c r="M45" s="22"/>
      <c r="O45" s="48"/>
      <c r="P45" s="49" t="str">
        <f>IF(ISBLANK(O45), "", VLOOKUP(O45, 作業リスト!$B$5:$C$60, 2, FALSE))</f>
        <v/>
      </c>
      <c r="Q45" s="55" t="str">
        <f t="shared" si="4"/>
        <v/>
      </c>
    </row>
    <row r="46" spans="2:17">
      <c r="B46" s="8" t="str">
        <f t="shared" si="2"/>
        <v>-</v>
      </c>
      <c r="C46" s="9" t="str">
        <f t="shared" si="3"/>
        <v>-</v>
      </c>
      <c r="D46" s="12"/>
      <c r="E46" s="33"/>
      <c r="F46" s="39" t="str">
        <f>IF(ISBLANK(E46), "", VLOOKUP(E46, 作業リスト!$B$5:$C$60, 2, FALSE))</f>
        <v/>
      </c>
      <c r="G46" s="11"/>
      <c r="H46" s="26" t="str">
        <f t="shared" si="1"/>
        <v/>
      </c>
      <c r="I46" s="19"/>
      <c r="K46" s="42"/>
      <c r="L46" s="45" t="str">
        <f>IF(ISBLANK(K46), "", VLOOKUP(K46, 作業リスト!$B$5:$C$60, 2, FALSE))</f>
        <v/>
      </c>
      <c r="M46" s="22"/>
      <c r="O46" s="48"/>
      <c r="P46" s="49" t="str">
        <f>IF(ISBLANK(O46), "", VLOOKUP(O46, 作業リスト!$B$5:$C$60, 2, FALSE))</f>
        <v/>
      </c>
      <c r="Q46" s="55" t="str">
        <f t="shared" si="4"/>
        <v/>
      </c>
    </row>
    <row r="47" spans="2:17">
      <c r="B47" s="8" t="str">
        <f t="shared" si="2"/>
        <v>-</v>
      </c>
      <c r="C47" s="9" t="str">
        <f t="shared" si="3"/>
        <v>-</v>
      </c>
      <c r="D47" s="12"/>
      <c r="E47" s="33"/>
      <c r="F47" s="39" t="str">
        <f>IF(ISBLANK(E47), "", VLOOKUP(E47, 作業リスト!$B$5:$C$60, 2, FALSE))</f>
        <v/>
      </c>
      <c r="G47" s="11"/>
      <c r="H47" s="26" t="str">
        <f t="shared" si="1"/>
        <v/>
      </c>
      <c r="I47" s="19"/>
      <c r="K47" s="42"/>
      <c r="L47" s="45" t="str">
        <f>IF(ISBLANK(K47), "", VLOOKUP(K47, 作業リスト!$B$5:$C$60, 2, FALSE))</f>
        <v/>
      </c>
      <c r="M47" s="22"/>
      <c r="O47" s="48"/>
      <c r="P47" s="49" t="str">
        <f>IF(ISBLANK(O47), "", VLOOKUP(O47, 作業リスト!$B$5:$C$60, 2, FALSE))</f>
        <v/>
      </c>
      <c r="Q47" s="55" t="str">
        <f t="shared" si="4"/>
        <v/>
      </c>
    </row>
    <row r="48" spans="2:17">
      <c r="B48" s="8" t="str">
        <f t="shared" si="2"/>
        <v>-</v>
      </c>
      <c r="C48" s="9" t="str">
        <f t="shared" si="3"/>
        <v>-</v>
      </c>
      <c r="D48" s="12"/>
      <c r="E48" s="33"/>
      <c r="F48" s="39" t="str">
        <f>IF(ISBLANK(E48), "", VLOOKUP(E48, 作業リスト!$B$5:$C$60, 2, FALSE))</f>
        <v/>
      </c>
      <c r="G48" s="11"/>
      <c r="H48" s="26" t="str">
        <f t="shared" si="1"/>
        <v/>
      </c>
      <c r="I48" s="19"/>
      <c r="K48" s="42"/>
      <c r="L48" s="45" t="str">
        <f>IF(ISBLANK(K48), "", VLOOKUP(K48, 作業リスト!$B$5:$C$60, 2, FALSE))</f>
        <v/>
      </c>
      <c r="M48" s="22"/>
      <c r="O48" s="48"/>
      <c r="P48" s="49" t="str">
        <f>IF(ISBLANK(O48), "", VLOOKUP(O48, 作業リスト!$B$5:$C$60, 2, FALSE))</f>
        <v/>
      </c>
      <c r="Q48" s="55" t="str">
        <f t="shared" si="4"/>
        <v/>
      </c>
    </row>
    <row r="49" spans="2:17">
      <c r="B49" s="8" t="str">
        <f t="shared" si="2"/>
        <v>-</v>
      </c>
      <c r="C49" s="9" t="str">
        <f t="shared" si="3"/>
        <v>-</v>
      </c>
      <c r="D49" s="12"/>
      <c r="E49" s="33"/>
      <c r="F49" s="39" t="str">
        <f>IF(ISBLANK(E49), "", VLOOKUP(E49, 作業リスト!$B$5:$C$60, 2, FALSE))</f>
        <v/>
      </c>
      <c r="G49" s="11"/>
      <c r="H49" s="26" t="str">
        <f t="shared" si="1"/>
        <v/>
      </c>
      <c r="I49" s="19"/>
      <c r="K49" s="42"/>
      <c r="L49" s="45" t="str">
        <f>IF(ISBLANK(K49), "", VLOOKUP(K49, 作業リスト!$B$5:$C$60, 2, FALSE))</f>
        <v/>
      </c>
      <c r="M49" s="22"/>
      <c r="O49" s="48"/>
      <c r="P49" s="49" t="str">
        <f>IF(ISBLANK(O49), "", VLOOKUP(O49, 作業リスト!$B$5:$C$60, 2, FALSE))</f>
        <v/>
      </c>
      <c r="Q49" s="55" t="str">
        <f t="shared" si="4"/>
        <v/>
      </c>
    </row>
    <row r="50" spans="2:17">
      <c r="B50" s="8" t="str">
        <f t="shared" si="2"/>
        <v>-</v>
      </c>
      <c r="C50" s="9" t="str">
        <f t="shared" si="3"/>
        <v>-</v>
      </c>
      <c r="D50" s="12"/>
      <c r="E50" s="33"/>
      <c r="F50" s="39" t="str">
        <f>IF(ISBLANK(E50), "", VLOOKUP(E50, 作業リスト!$B$5:$C$60, 2, FALSE))</f>
        <v/>
      </c>
      <c r="G50" s="11"/>
      <c r="H50" s="26" t="str">
        <f t="shared" si="1"/>
        <v/>
      </c>
      <c r="I50" s="19"/>
      <c r="K50" s="42"/>
      <c r="L50" s="45" t="str">
        <f>IF(ISBLANK(K50), "", VLOOKUP(K50, 作業リスト!$B$5:$C$60, 2, FALSE))</f>
        <v/>
      </c>
      <c r="M50" s="22"/>
      <c r="O50" s="48"/>
      <c r="P50" s="49" t="str">
        <f>IF(ISBLANK(O50), "", VLOOKUP(O50, 作業リスト!$B$5:$C$60, 2, FALSE))</f>
        <v/>
      </c>
      <c r="Q50" s="55" t="str">
        <f t="shared" si="4"/>
        <v/>
      </c>
    </row>
    <row r="51" spans="2:17">
      <c r="B51" s="8" t="str">
        <f t="shared" si="2"/>
        <v>-</v>
      </c>
      <c r="C51" s="9" t="str">
        <f t="shared" si="3"/>
        <v>-</v>
      </c>
      <c r="D51" s="12"/>
      <c r="E51" s="33"/>
      <c r="F51" s="39" t="str">
        <f>IF(ISBLANK(E51), "", VLOOKUP(E51, 作業リスト!$B$5:$C$60, 2, FALSE))</f>
        <v/>
      </c>
      <c r="G51" s="11"/>
      <c r="H51" s="26" t="str">
        <f t="shared" si="1"/>
        <v/>
      </c>
      <c r="I51" s="19"/>
      <c r="K51" s="42"/>
      <c r="L51" s="45" t="str">
        <f>IF(ISBLANK(K51), "", VLOOKUP(K51, 作業リスト!$B$5:$C$60, 2, FALSE))</f>
        <v/>
      </c>
      <c r="M51" s="22"/>
      <c r="O51" s="48"/>
      <c r="P51" s="49" t="str">
        <f>IF(ISBLANK(O51), "", VLOOKUP(O51, 作業リスト!$B$5:$C$60, 2, FALSE))</f>
        <v/>
      </c>
      <c r="Q51" s="55" t="str">
        <f t="shared" si="4"/>
        <v/>
      </c>
    </row>
    <row r="52" spans="2:17">
      <c r="B52" s="8" t="str">
        <f t="shared" si="2"/>
        <v>-</v>
      </c>
      <c r="C52" s="9" t="str">
        <f t="shared" si="3"/>
        <v>-</v>
      </c>
      <c r="D52" s="12"/>
      <c r="E52" s="33"/>
      <c r="F52" s="39" t="str">
        <f>IF(ISBLANK(E52), "", VLOOKUP(E52, 作業リスト!$B$5:$C$60, 2, FALSE))</f>
        <v/>
      </c>
      <c r="G52" s="11"/>
      <c r="H52" s="26" t="str">
        <f t="shared" si="1"/>
        <v/>
      </c>
      <c r="I52" s="19"/>
      <c r="K52" s="42"/>
      <c r="L52" s="45" t="str">
        <f>IF(ISBLANK(K52), "", VLOOKUP(K52, 作業リスト!$B$5:$C$60, 2, FALSE))</f>
        <v/>
      </c>
      <c r="M52" s="22"/>
      <c r="O52" s="48"/>
      <c r="P52" s="49" t="str">
        <f>IF(ISBLANK(O52), "", VLOOKUP(O52, 作業リスト!$B$5:$C$60, 2, FALSE))</f>
        <v/>
      </c>
      <c r="Q52" s="55" t="str">
        <f t="shared" si="4"/>
        <v/>
      </c>
    </row>
    <row r="53" spans="2:17">
      <c r="B53" s="8" t="str">
        <f t="shared" si="2"/>
        <v>-</v>
      </c>
      <c r="C53" s="9" t="str">
        <f t="shared" si="3"/>
        <v>-</v>
      </c>
      <c r="D53" s="12"/>
      <c r="E53" s="33"/>
      <c r="F53" s="39" t="str">
        <f>IF(ISBLANK(E53), "", VLOOKUP(E53, 作業リスト!$B$5:$C$60, 2, FALSE))</f>
        <v/>
      </c>
      <c r="G53" s="11"/>
      <c r="H53" s="26" t="str">
        <f t="shared" si="1"/>
        <v/>
      </c>
      <c r="I53" s="19"/>
      <c r="K53" s="42"/>
      <c r="L53" s="45" t="str">
        <f>IF(ISBLANK(K53), "", VLOOKUP(K53, 作業リスト!$B$5:$C$60, 2, FALSE))</f>
        <v/>
      </c>
      <c r="M53" s="22"/>
      <c r="O53" s="48"/>
      <c r="P53" s="49" t="str">
        <f>IF(ISBLANK(O53), "", VLOOKUP(O53, 作業リスト!$B$5:$C$60, 2, FALSE))</f>
        <v/>
      </c>
      <c r="Q53" s="55" t="str">
        <f t="shared" si="4"/>
        <v/>
      </c>
    </row>
    <row r="54" spans="2:17">
      <c r="B54" s="8" t="str">
        <f t="shared" si="2"/>
        <v>-</v>
      </c>
      <c r="C54" s="9" t="str">
        <f t="shared" si="3"/>
        <v>-</v>
      </c>
      <c r="D54" s="12"/>
      <c r="E54" s="33"/>
      <c r="F54" s="39" t="str">
        <f>IF(ISBLANK(E54), "", VLOOKUP(E54, 作業リスト!$B$5:$C$60, 2, FALSE))</f>
        <v/>
      </c>
      <c r="G54" s="11"/>
      <c r="H54" s="26" t="str">
        <f t="shared" si="1"/>
        <v/>
      </c>
      <c r="I54" s="19"/>
      <c r="K54" s="42"/>
      <c r="L54" s="45" t="str">
        <f>IF(ISBLANK(K54), "", VLOOKUP(K54, 作業リスト!$B$5:$C$60, 2, FALSE))</f>
        <v/>
      </c>
      <c r="M54" s="22"/>
      <c r="O54" s="48"/>
      <c r="P54" s="49" t="str">
        <f>IF(ISBLANK(O54), "", VLOOKUP(O54, 作業リスト!$B$5:$C$60, 2, FALSE))</f>
        <v/>
      </c>
      <c r="Q54" s="55" t="str">
        <f t="shared" si="4"/>
        <v/>
      </c>
    </row>
    <row r="55" spans="2:17" ht="14.25" thickBot="1">
      <c r="B55" s="13" t="str">
        <f t="shared" si="2"/>
        <v>-</v>
      </c>
      <c r="C55" s="14" t="str">
        <f t="shared" si="3"/>
        <v>-</v>
      </c>
      <c r="D55" s="15"/>
      <c r="E55" s="34"/>
      <c r="F55" s="40" t="str">
        <f>IF(ISBLANK(E55), "", VLOOKUP(E55, 作業リスト!$B$5:$C$60, 2, FALSE))</f>
        <v/>
      </c>
      <c r="G55" s="16"/>
      <c r="H55" s="27" t="str">
        <f t="shared" si="1"/>
        <v/>
      </c>
      <c r="I55" s="20"/>
      <c r="K55" s="43"/>
      <c r="L55" s="46" t="str">
        <f>IF(ISBLANK(K55), "", VLOOKUP(K55, 作業リスト!$B$5:$C$60, 2, FALSE))</f>
        <v/>
      </c>
      <c r="M55" s="23"/>
      <c r="O55" s="52"/>
      <c r="P55" s="53" t="str">
        <f>IF(ISBLANK(O55), "", VLOOKUP(O55, 作業リスト!$B$5:$C$60, 2, FALSE))</f>
        <v/>
      </c>
      <c r="Q55" s="55" t="str">
        <f t="shared" si="4"/>
        <v/>
      </c>
    </row>
    <row r="56" spans="2:17" ht="14.25" thickBot="1">
      <c r="K56" s="75" t="s">
        <v>28</v>
      </c>
      <c r="L56" s="76"/>
      <c r="M56" s="24">
        <f>SUM(M11:M55)</f>
        <v>0.20833333333333334</v>
      </c>
      <c r="O56" s="75" t="s">
        <v>28</v>
      </c>
      <c r="P56" s="76"/>
      <c r="Q56" s="24">
        <f>SUM(Q11:Q55) - SUMIF($O$11:$O$55, "REST??", $Q$11:$Q$55) - SUMIF($O$11:$O$55, "END", $Q$11:$Q$55)</f>
        <v>0.33333333333333331</v>
      </c>
    </row>
    <row r="58" spans="2:17">
      <c r="C58" s="47"/>
      <c r="D58" s="47"/>
    </row>
    <row r="60" spans="2:17">
      <c r="O60" s="58"/>
    </row>
    <row r="62" spans="2:17">
      <c r="O62" s="59"/>
      <c r="P62" s="60"/>
    </row>
    <row r="63" spans="2:17">
      <c r="O63" s="61"/>
      <c r="P63" s="60"/>
    </row>
    <row r="64" spans="2:17">
      <c r="O64" s="61"/>
      <c r="P64" s="60"/>
    </row>
    <row r="65" spans="15:16">
      <c r="O65" s="62"/>
      <c r="P65" s="62"/>
    </row>
    <row r="66" spans="15:16">
      <c r="O66" s="62"/>
      <c r="P66" s="62"/>
    </row>
    <row r="67" spans="15:16">
      <c r="O67" s="62"/>
      <c r="P67" s="62"/>
    </row>
    <row r="68" spans="15:16">
      <c r="O68" s="62"/>
      <c r="P68" s="62"/>
    </row>
    <row r="69" spans="15:16">
      <c r="O69" s="62"/>
      <c r="P69" s="62"/>
    </row>
    <row r="70" spans="15:16">
      <c r="O70" s="62"/>
      <c r="P70" s="62"/>
    </row>
    <row r="71" spans="15:16">
      <c r="O71" s="62"/>
      <c r="P71" s="62"/>
    </row>
    <row r="72" spans="15:16">
      <c r="O72" s="62"/>
      <c r="P72" s="62"/>
    </row>
    <row r="73" spans="15:16">
      <c r="O73" s="62"/>
      <c r="P73" s="62"/>
    </row>
    <row r="74" spans="15:16">
      <c r="O74" s="62"/>
      <c r="P74" s="62"/>
    </row>
    <row r="75" spans="15:16">
      <c r="O75" s="62"/>
      <c r="P75" s="62"/>
    </row>
    <row r="76" spans="15:16">
      <c r="O76" s="62"/>
      <c r="P76" s="62"/>
    </row>
    <row r="77" spans="15:16">
      <c r="O77" s="62"/>
      <c r="P77" s="62"/>
    </row>
    <row r="78" spans="15:16">
      <c r="O78" s="62"/>
      <c r="P78" s="62"/>
    </row>
    <row r="79" spans="15:16">
      <c r="O79" s="62"/>
      <c r="P79" s="62"/>
    </row>
    <row r="80" spans="15:16">
      <c r="O80" s="62"/>
      <c r="P80" s="62"/>
    </row>
    <row r="81" spans="15:16">
      <c r="O81" s="62"/>
      <c r="P81" s="62"/>
    </row>
    <row r="82" spans="15:16">
      <c r="O82" s="62"/>
      <c r="P82" s="62"/>
    </row>
    <row r="83" spans="15:16">
      <c r="O83" s="62"/>
      <c r="P83" s="62"/>
    </row>
    <row r="84" spans="15:16">
      <c r="O84" s="62"/>
      <c r="P84" s="62"/>
    </row>
    <row r="85" spans="15:16">
      <c r="O85" s="62"/>
      <c r="P85" s="62"/>
    </row>
    <row r="86" spans="15:16">
      <c r="O86" s="62"/>
      <c r="P86" s="62"/>
    </row>
  </sheetData>
  <sheetProtection sheet="1" objects="1" scenarios="1" formatColumns="0" formatRows="0"/>
  <mergeCells count="21">
    <mergeCell ref="B9:D9"/>
    <mergeCell ref="F9:F10"/>
    <mergeCell ref="G9:G10"/>
    <mergeCell ref="I9:I10"/>
    <mergeCell ref="B7:D7"/>
    <mergeCell ref="H9:H10"/>
    <mergeCell ref="K9:K10"/>
    <mergeCell ref="M9:M10"/>
    <mergeCell ref="E9:E10"/>
    <mergeCell ref="L9:L10"/>
    <mergeCell ref="K56:L56"/>
    <mergeCell ref="K7:L7"/>
    <mergeCell ref="B2:D2"/>
    <mergeCell ref="D3:D4"/>
    <mergeCell ref="B3:B4"/>
    <mergeCell ref="C3:C4"/>
    <mergeCell ref="O7:P7"/>
    <mergeCell ref="O9:O10"/>
    <mergeCell ref="P9:P10"/>
    <mergeCell ref="Q9:Q10"/>
    <mergeCell ref="O56:P56"/>
  </mergeCells>
  <phoneticPr fontId="1"/>
  <conditionalFormatting sqref="G11:H55">
    <cfRule type="cellIs" dxfId="3" priority="3" operator="equal">
      <formula>"続"</formula>
    </cfRule>
    <cfRule type="cellIs" dxfId="2" priority="4" operator="equal">
      <formula>"完"</formula>
    </cfRule>
    <cfRule type="cellIs" dxfId="1" priority="5" operator="equal">
      <formula>"未"</formula>
    </cfRule>
  </conditionalFormatting>
  <conditionalFormatting sqref="B11:H55">
    <cfRule type="expression" dxfId="0" priority="1">
      <formula>$H11="←"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開始">
                <anchor moveWithCells="1" sizeWithCells="1">
                  <from>
                    <xdr:col>1</xdr:col>
                    <xdr:colOff>28575</xdr:colOff>
                    <xdr:row>2</xdr:row>
                    <xdr:rowOff>28575</xdr:rowOff>
                  </from>
                  <to>
                    <xdr:col>1</xdr:col>
                    <xdr:colOff>457200</xdr:colOff>
                    <xdr:row>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時計停止">
                <anchor moveWithCells="1" sizeWithCells="1">
                  <from>
                    <xdr:col>2</xdr:col>
                    <xdr:colOff>38100</xdr:colOff>
                    <xdr:row>2</xdr:row>
                    <xdr:rowOff>28575</xdr:rowOff>
                  </from>
                  <to>
                    <xdr:col>2</xdr:col>
                    <xdr:colOff>457200</xdr:colOff>
                    <xdr:row>3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C88"/>
  <sheetViews>
    <sheetView showGridLines="0" zoomScale="85" zoomScaleNormal="85" workbookViewId="0">
      <selection activeCell="E2" sqref="E2"/>
    </sheetView>
  </sheetViews>
  <sheetFormatPr defaultRowHeight="13.5"/>
  <cols>
    <col min="1" max="1" width="2.25" customWidth="1"/>
    <col min="2" max="2" width="7.875" bestFit="1" customWidth="1"/>
    <col min="3" max="3" width="33.5" customWidth="1"/>
  </cols>
  <sheetData>
    <row r="2" spans="2:3">
      <c r="B2" s="68" t="s">
        <v>86</v>
      </c>
      <c r="C2" s="68"/>
    </row>
    <row r="3" spans="2:3" ht="14.25" thickBot="1"/>
    <row r="4" spans="2:3" ht="14.25" thickBot="1">
      <c r="B4" s="28" t="s">
        <v>26</v>
      </c>
      <c r="C4" s="29" t="s">
        <v>22</v>
      </c>
    </row>
    <row r="5" spans="2:3" ht="14.25" thickTop="1">
      <c r="B5" s="35" t="s">
        <v>30</v>
      </c>
      <c r="C5" s="30" t="s">
        <v>7</v>
      </c>
    </row>
    <row r="6" spans="2:3">
      <c r="B6" s="36" t="s">
        <v>31</v>
      </c>
      <c r="C6" s="19" t="s">
        <v>15</v>
      </c>
    </row>
    <row r="7" spans="2:3">
      <c r="B7" s="36" t="s">
        <v>32</v>
      </c>
      <c r="C7" s="19" t="s">
        <v>10</v>
      </c>
    </row>
    <row r="8" spans="2:3">
      <c r="B8" s="36" t="s">
        <v>33</v>
      </c>
      <c r="C8" s="19" t="s">
        <v>16</v>
      </c>
    </row>
    <row r="9" spans="2:3">
      <c r="B9" s="36" t="s">
        <v>34</v>
      </c>
      <c r="C9" s="19" t="s">
        <v>19</v>
      </c>
    </row>
    <row r="10" spans="2:3">
      <c r="B10" s="36" t="s">
        <v>35</v>
      </c>
      <c r="C10" s="19" t="s">
        <v>20</v>
      </c>
    </row>
    <row r="11" spans="2:3">
      <c r="B11" s="36" t="s">
        <v>36</v>
      </c>
      <c r="C11" s="19" t="s">
        <v>17</v>
      </c>
    </row>
    <row r="12" spans="2:3">
      <c r="B12" s="36" t="s">
        <v>37</v>
      </c>
      <c r="C12" s="19" t="s">
        <v>11</v>
      </c>
    </row>
    <row r="13" spans="2:3">
      <c r="B13" s="36" t="s">
        <v>38</v>
      </c>
      <c r="C13" s="19"/>
    </row>
    <row r="14" spans="2:3">
      <c r="B14" s="36" t="s">
        <v>39</v>
      </c>
      <c r="C14" s="19"/>
    </row>
    <row r="15" spans="2:3">
      <c r="B15" s="36" t="s">
        <v>40</v>
      </c>
      <c r="C15" s="19"/>
    </row>
    <row r="16" spans="2:3">
      <c r="B16" s="36" t="s">
        <v>41</v>
      </c>
      <c r="C16" s="19"/>
    </row>
    <row r="17" spans="2:3">
      <c r="B17" s="36" t="s">
        <v>42</v>
      </c>
      <c r="C17" s="19"/>
    </row>
    <row r="18" spans="2:3">
      <c r="B18" s="36" t="s">
        <v>43</v>
      </c>
      <c r="C18" s="19"/>
    </row>
    <row r="19" spans="2:3">
      <c r="B19" s="36" t="s">
        <v>44</v>
      </c>
      <c r="C19" s="19"/>
    </row>
    <row r="20" spans="2:3">
      <c r="B20" s="36" t="s">
        <v>45</v>
      </c>
      <c r="C20" s="19"/>
    </row>
    <row r="21" spans="2:3">
      <c r="B21" s="36" t="s">
        <v>46</v>
      </c>
      <c r="C21" s="19"/>
    </row>
    <row r="22" spans="2:3">
      <c r="B22" s="36" t="s">
        <v>47</v>
      </c>
      <c r="C22" s="19"/>
    </row>
    <row r="23" spans="2:3">
      <c r="B23" s="36" t="s">
        <v>48</v>
      </c>
      <c r="C23" s="19"/>
    </row>
    <row r="24" spans="2:3">
      <c r="B24" s="36" t="s">
        <v>49</v>
      </c>
      <c r="C24" s="19"/>
    </row>
    <row r="25" spans="2:3">
      <c r="B25" s="36" t="s">
        <v>50</v>
      </c>
      <c r="C25" s="19"/>
    </row>
    <row r="26" spans="2:3">
      <c r="B26" s="36" t="s">
        <v>51</v>
      </c>
      <c r="C26" s="19"/>
    </row>
    <row r="27" spans="2:3">
      <c r="B27" s="36" t="s">
        <v>52</v>
      </c>
      <c r="C27" s="19"/>
    </row>
    <row r="28" spans="2:3">
      <c r="B28" s="36" t="s">
        <v>53</v>
      </c>
      <c r="C28" s="19"/>
    </row>
    <row r="29" spans="2:3">
      <c r="B29" s="36" t="s">
        <v>54</v>
      </c>
      <c r="C29" s="19"/>
    </row>
    <row r="30" spans="2:3">
      <c r="B30" s="36" t="s">
        <v>55</v>
      </c>
      <c r="C30" s="19"/>
    </row>
    <row r="31" spans="2:3">
      <c r="B31" s="36" t="s">
        <v>56</v>
      </c>
      <c r="C31" s="19"/>
    </row>
    <row r="32" spans="2:3">
      <c r="B32" s="36" t="s">
        <v>57</v>
      </c>
      <c r="C32" s="19"/>
    </row>
    <row r="33" spans="2:3">
      <c r="B33" s="36" t="s">
        <v>58</v>
      </c>
      <c r="C33" s="19"/>
    </row>
    <row r="34" spans="2:3">
      <c r="B34" s="36" t="s">
        <v>59</v>
      </c>
      <c r="C34" s="19"/>
    </row>
    <row r="35" spans="2:3">
      <c r="B35" s="36" t="s">
        <v>60</v>
      </c>
      <c r="C35" s="19"/>
    </row>
    <row r="36" spans="2:3">
      <c r="B36" s="36" t="s">
        <v>61</v>
      </c>
      <c r="C36" s="19"/>
    </row>
    <row r="37" spans="2:3">
      <c r="B37" s="36" t="s">
        <v>62</v>
      </c>
      <c r="C37" s="19"/>
    </row>
    <row r="38" spans="2:3">
      <c r="B38" s="36" t="s">
        <v>63</v>
      </c>
      <c r="C38" s="19"/>
    </row>
    <row r="39" spans="2:3">
      <c r="B39" s="36" t="s">
        <v>64</v>
      </c>
      <c r="C39" s="19"/>
    </row>
    <row r="40" spans="2:3">
      <c r="B40" s="36" t="s">
        <v>65</v>
      </c>
      <c r="C40" s="19"/>
    </row>
    <row r="41" spans="2:3">
      <c r="B41" s="36" t="s">
        <v>66</v>
      </c>
      <c r="C41" s="19"/>
    </row>
    <row r="42" spans="2:3">
      <c r="B42" s="36" t="s">
        <v>67</v>
      </c>
      <c r="C42" s="19"/>
    </row>
    <row r="43" spans="2:3">
      <c r="B43" s="36" t="s">
        <v>68</v>
      </c>
      <c r="C43" s="19"/>
    </row>
    <row r="44" spans="2:3">
      <c r="B44" s="36" t="s">
        <v>69</v>
      </c>
      <c r="C44" s="19"/>
    </row>
    <row r="45" spans="2:3">
      <c r="B45" s="36" t="s">
        <v>70</v>
      </c>
      <c r="C45" s="19"/>
    </row>
    <row r="46" spans="2:3">
      <c r="B46" s="36" t="s">
        <v>71</v>
      </c>
      <c r="C46" s="19"/>
    </row>
    <row r="47" spans="2:3">
      <c r="B47" s="36" t="s">
        <v>72</v>
      </c>
      <c r="C47" s="19"/>
    </row>
    <row r="48" spans="2:3">
      <c r="B48" s="36" t="s">
        <v>73</v>
      </c>
      <c r="C48" s="19"/>
    </row>
    <row r="49" spans="2:3">
      <c r="B49" s="36" t="s">
        <v>74</v>
      </c>
      <c r="C49" s="19"/>
    </row>
    <row r="50" spans="2:3">
      <c r="B50" s="36" t="s">
        <v>75</v>
      </c>
      <c r="C50" s="19"/>
    </row>
    <row r="51" spans="2:3">
      <c r="B51" s="36" t="s">
        <v>76</v>
      </c>
      <c r="C51" s="19"/>
    </row>
    <row r="52" spans="2:3">
      <c r="B52" s="36" t="s">
        <v>77</v>
      </c>
      <c r="C52" s="19"/>
    </row>
    <row r="53" spans="2:3">
      <c r="B53" s="36" t="s">
        <v>78</v>
      </c>
      <c r="C53" s="19"/>
    </row>
    <row r="54" spans="2:3">
      <c r="B54" s="36" t="s">
        <v>79</v>
      </c>
      <c r="C54" s="19"/>
    </row>
    <row r="55" spans="2:3">
      <c r="B55" s="36" t="s">
        <v>80</v>
      </c>
      <c r="C55" s="19" t="s">
        <v>18</v>
      </c>
    </row>
    <row r="56" spans="2:3">
      <c r="B56" s="36" t="s">
        <v>81</v>
      </c>
      <c r="C56" s="19"/>
    </row>
    <row r="57" spans="2:3">
      <c r="B57" s="36" t="s">
        <v>82</v>
      </c>
      <c r="C57" s="19"/>
    </row>
    <row r="58" spans="2:3">
      <c r="B58" s="36" t="s">
        <v>83</v>
      </c>
      <c r="C58" s="19"/>
    </row>
    <row r="59" spans="2:3">
      <c r="B59" s="36" t="s">
        <v>84</v>
      </c>
      <c r="C59" s="19"/>
    </row>
    <row r="60" spans="2:3" ht="14.25" thickBot="1">
      <c r="B60" s="37" t="s">
        <v>114</v>
      </c>
      <c r="C60" s="20" t="s">
        <v>85</v>
      </c>
    </row>
    <row r="64" spans="2:3">
      <c r="B64" s="63"/>
      <c r="C64" s="64"/>
    </row>
    <row r="65" spans="2:3">
      <c r="B65" s="65"/>
      <c r="C65" s="64"/>
    </row>
    <row r="66" spans="2:3">
      <c r="B66" s="65"/>
      <c r="C66" s="64"/>
    </row>
    <row r="67" spans="2:3">
      <c r="B67" s="66"/>
      <c r="C67" s="66"/>
    </row>
    <row r="68" spans="2:3">
      <c r="B68" s="66"/>
      <c r="C68" s="66"/>
    </row>
    <row r="69" spans="2:3">
      <c r="B69" s="66"/>
      <c r="C69" s="66"/>
    </row>
    <row r="70" spans="2:3">
      <c r="B70" s="66"/>
      <c r="C70" s="66"/>
    </row>
    <row r="71" spans="2:3">
      <c r="B71" s="66"/>
      <c r="C71" s="66"/>
    </row>
    <row r="72" spans="2:3">
      <c r="B72" s="66"/>
      <c r="C72" s="66"/>
    </row>
    <row r="73" spans="2:3">
      <c r="B73" s="66"/>
      <c r="C73" s="66"/>
    </row>
    <row r="74" spans="2:3">
      <c r="B74" s="66"/>
      <c r="C74" s="66"/>
    </row>
    <row r="75" spans="2:3">
      <c r="B75" s="66"/>
      <c r="C75" s="66"/>
    </row>
    <row r="76" spans="2:3">
      <c r="B76" s="66"/>
      <c r="C76" s="66"/>
    </row>
    <row r="77" spans="2:3">
      <c r="B77" s="66"/>
      <c r="C77" s="66"/>
    </row>
    <row r="78" spans="2:3">
      <c r="B78" s="66"/>
      <c r="C78" s="66"/>
    </row>
    <row r="79" spans="2:3">
      <c r="B79" s="66"/>
      <c r="C79" s="66"/>
    </row>
    <row r="80" spans="2:3">
      <c r="B80" s="66"/>
      <c r="C80" s="66"/>
    </row>
    <row r="81" spans="2:3">
      <c r="B81" s="66"/>
      <c r="C81" s="66"/>
    </row>
    <row r="82" spans="2:3">
      <c r="B82" s="66"/>
      <c r="C82" s="66"/>
    </row>
    <row r="83" spans="2:3">
      <c r="B83" s="66"/>
      <c r="C83" s="66"/>
    </row>
    <row r="84" spans="2:3">
      <c r="B84" s="66"/>
      <c r="C84" s="66"/>
    </row>
    <row r="85" spans="2:3">
      <c r="B85" s="66"/>
      <c r="C85" s="66"/>
    </row>
    <row r="86" spans="2:3">
      <c r="B86" s="66"/>
      <c r="C86" s="66"/>
    </row>
    <row r="87" spans="2:3">
      <c r="B87" s="66"/>
      <c r="C87" s="66"/>
    </row>
    <row r="88" spans="2:3">
      <c r="B88" s="66"/>
      <c r="C88" s="66"/>
    </row>
  </sheetData>
  <sheetProtection sheet="1" objects="1" scenarios="1" formatColumns="0" formatRows="0"/>
  <mergeCells count="1">
    <mergeCell ref="B2:C2"/>
  </mergeCells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N100"/>
  <sheetViews>
    <sheetView showGridLines="0" workbookViewId="0">
      <selection activeCell="V2" sqref="V2"/>
    </sheetView>
  </sheetViews>
  <sheetFormatPr defaultRowHeight="13.5"/>
  <cols>
    <col min="1" max="1" width="2.25" customWidth="1"/>
    <col min="2" max="40" width="2.375" customWidth="1"/>
  </cols>
  <sheetData>
    <row r="1" spans="1:40">
      <c r="A1" s="56"/>
      <c r="B1" s="56"/>
      <c r="C1" s="56"/>
      <c r="D1" s="56"/>
      <c r="E1" s="56"/>
      <c r="F1" s="56"/>
      <c r="G1" s="56"/>
      <c r="H1" s="56"/>
      <c r="I1" s="56"/>
      <c r="J1" s="56"/>
      <c r="K1" s="56"/>
      <c r="L1" s="56"/>
      <c r="M1" s="56"/>
      <c r="N1" s="56"/>
      <c r="O1" s="56"/>
      <c r="P1" s="56"/>
      <c r="Q1" s="56"/>
      <c r="R1" s="56"/>
      <c r="S1" s="56"/>
      <c r="T1" s="56"/>
      <c r="U1" s="56"/>
      <c r="V1" s="56"/>
      <c r="W1" s="56"/>
      <c r="X1" s="56"/>
      <c r="Y1" s="56"/>
      <c r="Z1" s="56"/>
      <c r="AA1" s="56"/>
      <c r="AB1" s="56"/>
      <c r="AC1" s="56"/>
      <c r="AD1" s="56"/>
      <c r="AE1" s="56"/>
      <c r="AF1" s="56"/>
      <c r="AG1" s="56"/>
      <c r="AH1" s="56"/>
      <c r="AI1" s="56"/>
      <c r="AJ1" s="56"/>
      <c r="AK1" s="56"/>
      <c r="AL1" s="56"/>
      <c r="AM1" s="56"/>
      <c r="AN1" s="56"/>
    </row>
    <row r="2" spans="1:40" ht="17.25">
      <c r="A2" s="56"/>
      <c r="B2" s="99" t="s">
        <v>100</v>
      </c>
      <c r="C2" s="99"/>
      <c r="D2" s="99"/>
      <c r="E2" s="99"/>
      <c r="F2" s="99"/>
      <c r="G2" s="99"/>
      <c r="H2" s="99"/>
      <c r="I2" s="99"/>
      <c r="J2" s="99"/>
      <c r="K2" s="99"/>
      <c r="L2" s="99"/>
      <c r="M2" s="99"/>
      <c r="N2" s="99"/>
      <c r="O2" s="99"/>
      <c r="P2" s="99"/>
      <c r="Q2" s="99"/>
      <c r="R2" s="99"/>
      <c r="S2" s="99"/>
      <c r="T2" s="56"/>
      <c r="U2" s="56"/>
      <c r="V2" s="56"/>
      <c r="W2" s="56"/>
      <c r="X2" s="56"/>
      <c r="Y2" s="56"/>
      <c r="Z2" s="56"/>
      <c r="AA2" s="56"/>
      <c r="AB2" s="56"/>
      <c r="AC2" s="56"/>
      <c r="AD2" s="56"/>
      <c r="AE2" s="56"/>
      <c r="AF2" s="56"/>
      <c r="AG2" s="56"/>
      <c r="AH2" s="56"/>
      <c r="AI2" s="56"/>
      <c r="AJ2" s="56"/>
      <c r="AK2" s="56"/>
      <c r="AL2" s="56"/>
      <c r="AM2" s="56"/>
      <c r="AN2" s="56"/>
    </row>
    <row r="3" spans="1:40">
      <c r="A3" s="56"/>
      <c r="B3" s="56"/>
      <c r="C3" s="56"/>
      <c r="D3" s="56"/>
      <c r="E3" s="56"/>
      <c r="F3" s="56"/>
      <c r="G3" s="56"/>
      <c r="H3" s="56"/>
      <c r="I3" s="56"/>
      <c r="J3" s="56"/>
      <c r="K3" s="56"/>
      <c r="L3" s="56"/>
      <c r="M3" s="56"/>
      <c r="N3" s="56"/>
      <c r="O3" s="56"/>
      <c r="P3" s="56"/>
      <c r="Q3" s="56"/>
      <c r="R3" s="56"/>
      <c r="S3" s="56"/>
      <c r="T3" s="56"/>
      <c r="U3" s="56"/>
      <c r="V3" s="56"/>
      <c r="W3" s="56"/>
      <c r="X3" s="56"/>
      <c r="Y3" s="56"/>
      <c r="Z3" s="56"/>
      <c r="AA3" s="56"/>
      <c r="AB3" s="56"/>
      <c r="AC3" s="56"/>
      <c r="AD3" s="56"/>
      <c r="AE3" s="56"/>
      <c r="AF3" s="56"/>
      <c r="AG3" s="56"/>
      <c r="AH3" s="56"/>
      <c r="AI3" s="56"/>
      <c r="AJ3" s="56"/>
      <c r="AK3" s="56"/>
      <c r="AL3" s="56"/>
      <c r="AM3" s="56"/>
      <c r="AN3" s="56"/>
    </row>
    <row r="4" spans="1:40" ht="14.25">
      <c r="A4" s="56"/>
      <c r="B4" s="56"/>
      <c r="C4" s="67" t="s">
        <v>101</v>
      </c>
      <c r="D4" s="54"/>
      <c r="E4" s="54"/>
      <c r="F4" s="56"/>
      <c r="G4" s="56"/>
      <c r="H4" s="56"/>
      <c r="I4" s="56"/>
      <c r="J4" s="56"/>
      <c r="K4" s="56"/>
      <c r="L4" s="56"/>
      <c r="M4" s="56"/>
      <c r="N4" s="56"/>
      <c r="O4" s="56"/>
      <c r="P4" s="56"/>
      <c r="Q4" s="56"/>
      <c r="R4" s="56"/>
      <c r="S4" s="56"/>
      <c r="T4" s="56"/>
      <c r="U4" s="56"/>
      <c r="V4" s="56"/>
      <c r="W4" s="56"/>
      <c r="X4" s="56"/>
      <c r="Y4" s="56"/>
      <c r="Z4" s="56"/>
      <c r="AA4" s="56"/>
      <c r="AB4" s="56"/>
      <c r="AC4" s="56"/>
      <c r="AD4" s="56"/>
      <c r="AE4" s="56"/>
      <c r="AF4" s="56"/>
      <c r="AG4" s="56"/>
      <c r="AH4" s="56"/>
      <c r="AI4" s="56"/>
      <c r="AJ4" s="56"/>
      <c r="AK4" s="56"/>
      <c r="AL4" s="56"/>
      <c r="AM4" s="56"/>
      <c r="AN4" s="56"/>
    </row>
    <row r="5" spans="1:40">
      <c r="A5" s="56"/>
      <c r="B5" s="56"/>
      <c r="C5" s="56"/>
      <c r="D5" s="47" t="s">
        <v>102</v>
      </c>
      <c r="E5" s="57"/>
      <c r="F5" s="57"/>
      <c r="G5" s="57"/>
      <c r="H5" s="57"/>
      <c r="I5" s="57"/>
      <c r="J5" s="57"/>
      <c r="K5" s="57"/>
      <c r="L5" s="57"/>
      <c r="M5" s="57"/>
      <c r="N5" s="57"/>
      <c r="O5" s="57"/>
      <c r="P5" s="57"/>
      <c r="Q5" s="57"/>
      <c r="R5" s="57"/>
      <c r="S5" s="57"/>
      <c r="T5" s="57"/>
      <c r="U5" s="57"/>
      <c r="V5" s="57"/>
      <c r="W5" s="57"/>
      <c r="X5" s="57"/>
      <c r="Y5" s="57"/>
      <c r="Z5" s="57"/>
      <c r="AA5" s="57"/>
      <c r="AB5" s="57"/>
      <c r="AC5" s="57"/>
      <c r="AD5" s="57"/>
      <c r="AE5" s="57"/>
      <c r="AF5" s="57"/>
      <c r="AG5" s="57"/>
      <c r="AH5" s="57"/>
      <c r="AI5" s="57"/>
      <c r="AJ5" s="57"/>
      <c r="AK5" s="57"/>
      <c r="AL5" s="57"/>
      <c r="AM5" s="57"/>
      <c r="AN5" s="57"/>
    </row>
    <row r="6" spans="1:40">
      <c r="A6" s="56"/>
      <c r="B6" s="56"/>
      <c r="C6" s="56"/>
    </row>
    <row r="7" spans="1:40">
      <c r="A7" s="56"/>
      <c r="B7" s="56"/>
      <c r="C7" s="56"/>
    </row>
    <row r="8" spans="1:40">
      <c r="A8" s="56"/>
      <c r="B8" s="56"/>
      <c r="C8" s="56"/>
    </row>
    <row r="9" spans="1:40">
      <c r="A9" s="56"/>
      <c r="B9" s="56"/>
      <c r="C9" s="56"/>
    </row>
    <row r="10" spans="1:40">
      <c r="A10" s="56"/>
      <c r="B10" s="56"/>
      <c r="C10" s="56"/>
      <c r="D10" s="56"/>
      <c r="E10" s="56"/>
      <c r="F10" s="56"/>
      <c r="G10" s="56"/>
      <c r="H10" s="56"/>
      <c r="I10" s="56"/>
      <c r="J10" s="56"/>
      <c r="K10" s="56"/>
      <c r="L10" s="56"/>
      <c r="M10" s="56"/>
      <c r="N10" s="56"/>
      <c r="O10" s="56"/>
      <c r="P10" s="56"/>
      <c r="Q10" s="56"/>
      <c r="R10" s="56"/>
      <c r="S10" s="56"/>
      <c r="T10" s="56"/>
      <c r="U10" s="56"/>
      <c r="V10" s="56"/>
      <c r="W10" s="56"/>
      <c r="X10" s="56"/>
      <c r="Y10" s="56"/>
      <c r="Z10" s="56"/>
      <c r="AA10" s="56"/>
      <c r="AB10" s="56"/>
      <c r="AC10" s="56"/>
      <c r="AD10" s="56"/>
      <c r="AE10" s="56"/>
      <c r="AF10" s="56"/>
      <c r="AG10" s="56"/>
      <c r="AH10" s="56"/>
      <c r="AI10" s="56"/>
      <c r="AJ10" s="56"/>
      <c r="AK10" s="56"/>
      <c r="AL10" s="56"/>
      <c r="AM10" s="56"/>
      <c r="AN10" s="56"/>
    </row>
    <row r="11" spans="1:40">
      <c r="A11" s="56"/>
      <c r="B11" s="56"/>
      <c r="C11" s="56"/>
      <c r="D11" s="56"/>
      <c r="E11" s="56"/>
      <c r="F11" s="56"/>
      <c r="G11" s="56"/>
      <c r="H11" s="56"/>
      <c r="I11" s="56"/>
      <c r="J11" s="56"/>
      <c r="K11" s="56"/>
      <c r="L11" s="56"/>
      <c r="M11" s="56"/>
      <c r="N11" s="56"/>
      <c r="O11" s="56"/>
      <c r="P11" s="56"/>
      <c r="Q11" s="56"/>
      <c r="R11" s="56"/>
      <c r="S11" s="56"/>
      <c r="T11" s="56"/>
      <c r="U11" s="56"/>
      <c r="V11" s="56"/>
      <c r="W11" s="56"/>
      <c r="X11" s="56"/>
      <c r="Y11" s="56"/>
      <c r="Z11" s="56"/>
      <c r="AA11" s="56"/>
      <c r="AB11" s="56"/>
      <c r="AC11" s="56"/>
      <c r="AD11" s="56"/>
      <c r="AE11" s="56"/>
      <c r="AF11" s="56"/>
      <c r="AG11" s="56"/>
      <c r="AH11" s="56"/>
      <c r="AI11" s="56"/>
      <c r="AJ11" s="56"/>
      <c r="AK11" s="56"/>
      <c r="AL11" s="56"/>
      <c r="AM11" s="56"/>
      <c r="AN11" s="56"/>
    </row>
    <row r="12" spans="1:40">
      <c r="A12" s="56"/>
      <c r="B12" s="56"/>
      <c r="C12" s="56"/>
      <c r="D12" s="56"/>
      <c r="E12" s="56"/>
      <c r="F12" s="56"/>
      <c r="G12" s="56"/>
      <c r="H12" s="56"/>
      <c r="I12" s="56"/>
      <c r="J12" s="56"/>
      <c r="K12" s="56"/>
      <c r="L12" s="56"/>
      <c r="M12" s="56"/>
      <c r="N12" s="56"/>
      <c r="O12" s="56"/>
      <c r="P12" s="56"/>
      <c r="Q12" s="56"/>
      <c r="R12" s="56"/>
      <c r="S12" s="56"/>
      <c r="T12" s="56"/>
      <c r="U12" s="56"/>
      <c r="V12" s="56"/>
      <c r="W12" s="56"/>
      <c r="X12" s="56"/>
      <c r="Y12" s="56"/>
      <c r="Z12" s="56"/>
      <c r="AA12" s="56"/>
      <c r="AB12" s="56"/>
      <c r="AC12" s="56"/>
      <c r="AD12" s="56"/>
      <c r="AE12" s="56"/>
      <c r="AF12" s="56"/>
      <c r="AG12" s="56"/>
      <c r="AH12" s="56"/>
      <c r="AI12" s="56"/>
      <c r="AJ12" s="56"/>
      <c r="AK12" s="56"/>
      <c r="AL12" s="56"/>
      <c r="AM12" s="56"/>
      <c r="AN12" s="56"/>
    </row>
    <row r="13" spans="1:40">
      <c r="A13" s="56"/>
      <c r="B13" s="56"/>
      <c r="C13" s="56"/>
    </row>
    <row r="14" spans="1:40">
      <c r="A14" s="56"/>
      <c r="B14" s="56"/>
      <c r="C14" s="56"/>
    </row>
    <row r="15" spans="1:40">
      <c r="A15" s="56"/>
      <c r="B15" s="56"/>
      <c r="C15" s="56"/>
    </row>
    <row r="16" spans="1:40">
      <c r="A16" s="56"/>
      <c r="B16" s="56"/>
      <c r="C16" s="56"/>
    </row>
    <row r="17" spans="1:40">
      <c r="A17" s="56"/>
      <c r="B17" s="56"/>
      <c r="C17" s="56"/>
      <c r="D17" s="56"/>
      <c r="E17" s="56"/>
      <c r="F17" s="56"/>
      <c r="G17" s="56"/>
      <c r="H17" s="56"/>
      <c r="I17" s="56"/>
      <c r="J17" s="56"/>
      <c r="K17" s="56"/>
      <c r="L17" s="56"/>
      <c r="M17" s="56"/>
      <c r="N17" s="56"/>
      <c r="O17" s="56"/>
      <c r="P17" s="56"/>
      <c r="Q17" s="56"/>
      <c r="R17" s="56"/>
      <c r="S17" s="56"/>
      <c r="T17" s="56"/>
      <c r="U17" s="56"/>
      <c r="V17" s="56"/>
      <c r="W17" s="56"/>
      <c r="X17" s="56"/>
      <c r="Y17" s="56"/>
      <c r="Z17" s="56"/>
      <c r="AA17" s="56"/>
      <c r="AB17" s="56"/>
      <c r="AC17" s="56"/>
      <c r="AD17" s="56"/>
      <c r="AE17" s="56"/>
      <c r="AF17" s="56"/>
      <c r="AG17" s="56"/>
      <c r="AH17" s="56"/>
      <c r="AI17" s="56"/>
      <c r="AJ17" s="56"/>
      <c r="AK17" s="56"/>
      <c r="AL17" s="56"/>
      <c r="AM17" s="56"/>
      <c r="AN17" s="56"/>
    </row>
    <row r="18" spans="1:40">
      <c r="A18" s="56"/>
      <c r="B18" s="56"/>
      <c r="C18" s="56"/>
      <c r="D18" s="56"/>
      <c r="E18" s="56"/>
      <c r="F18" s="56"/>
      <c r="G18" s="56"/>
      <c r="H18" s="56"/>
      <c r="I18" s="56"/>
      <c r="J18" s="56"/>
      <c r="K18" s="56"/>
      <c r="L18" s="56"/>
      <c r="M18" s="56"/>
      <c r="N18" s="56"/>
      <c r="O18" s="56"/>
      <c r="P18" s="56"/>
      <c r="Q18" s="56"/>
      <c r="R18" s="56"/>
      <c r="S18" s="56"/>
      <c r="T18" s="56"/>
      <c r="U18" s="56"/>
      <c r="V18" s="56"/>
      <c r="W18" s="56"/>
      <c r="X18" s="56"/>
      <c r="Y18" s="56"/>
      <c r="Z18" s="56"/>
      <c r="AA18" s="56"/>
      <c r="AB18" s="56"/>
      <c r="AC18" s="56"/>
      <c r="AD18" s="56"/>
      <c r="AE18" s="56"/>
      <c r="AF18" s="56"/>
      <c r="AG18" s="56"/>
      <c r="AH18" s="56"/>
      <c r="AI18" s="56"/>
      <c r="AJ18" s="56"/>
      <c r="AK18" s="56"/>
      <c r="AL18" s="56"/>
      <c r="AM18" s="56"/>
      <c r="AN18" s="56"/>
    </row>
    <row r="19" spans="1:40">
      <c r="A19" s="56"/>
      <c r="B19" s="56"/>
      <c r="C19" s="56"/>
      <c r="D19" s="56"/>
      <c r="E19" s="56"/>
      <c r="F19" s="56"/>
      <c r="G19" s="56"/>
      <c r="H19" s="56"/>
      <c r="I19" s="56"/>
      <c r="J19" s="56"/>
      <c r="K19" s="56"/>
      <c r="L19" s="56"/>
      <c r="M19" s="56"/>
      <c r="N19" s="56"/>
      <c r="O19" s="56"/>
      <c r="P19" s="56"/>
      <c r="Q19" s="56"/>
      <c r="R19" s="56"/>
      <c r="S19" s="56"/>
      <c r="T19" s="56"/>
      <c r="U19" s="56"/>
      <c r="V19" s="56"/>
      <c r="W19" s="56"/>
      <c r="X19" s="56"/>
      <c r="Y19" s="56"/>
      <c r="Z19" s="56"/>
      <c r="AA19" s="56"/>
      <c r="AB19" s="56"/>
      <c r="AC19" s="56"/>
      <c r="AD19" s="56"/>
      <c r="AE19" s="56"/>
      <c r="AF19" s="56"/>
      <c r="AG19" s="56"/>
      <c r="AH19" s="56"/>
      <c r="AI19" s="56"/>
      <c r="AJ19" s="56"/>
      <c r="AK19" s="56"/>
      <c r="AL19" s="56"/>
      <c r="AM19" s="56"/>
      <c r="AN19" s="56"/>
    </row>
    <row r="20" spans="1:40">
      <c r="A20" s="56"/>
      <c r="B20" s="56"/>
      <c r="C20" s="56"/>
      <c r="E20" t="s">
        <v>111</v>
      </c>
    </row>
    <row r="21" spans="1:40">
      <c r="A21" s="56"/>
      <c r="B21" s="56"/>
      <c r="C21" s="56"/>
    </row>
    <row r="22" spans="1:40">
      <c r="A22" s="56"/>
      <c r="B22" s="56"/>
      <c r="C22" s="56"/>
      <c r="D22" s="47" t="s">
        <v>103</v>
      </c>
      <c r="E22" s="57"/>
      <c r="F22" s="57"/>
      <c r="G22" s="57"/>
      <c r="H22" s="57"/>
      <c r="I22" s="57"/>
      <c r="J22" s="57"/>
      <c r="K22" s="57"/>
      <c r="L22" s="57"/>
      <c r="M22" s="57"/>
      <c r="N22" s="57"/>
      <c r="O22" s="57"/>
      <c r="P22" s="57"/>
      <c r="Q22" s="57"/>
      <c r="R22" s="57"/>
      <c r="S22" s="57"/>
      <c r="T22" s="57"/>
      <c r="U22" s="57"/>
      <c r="V22" s="57"/>
      <c r="W22" s="57"/>
      <c r="X22" s="57"/>
      <c r="Y22" s="57"/>
      <c r="Z22" s="57"/>
      <c r="AA22" s="57"/>
      <c r="AB22" s="57"/>
      <c r="AC22" s="57"/>
      <c r="AD22" s="57"/>
      <c r="AE22" s="57"/>
      <c r="AF22" s="57"/>
      <c r="AG22" s="57"/>
      <c r="AH22" s="57"/>
      <c r="AI22" s="57"/>
      <c r="AJ22" s="57"/>
      <c r="AK22" s="57"/>
      <c r="AL22" s="57"/>
      <c r="AM22" s="57"/>
      <c r="AN22" s="57"/>
    </row>
    <row r="23" spans="1:40">
      <c r="A23" s="56"/>
      <c r="B23" s="56"/>
      <c r="C23" s="56"/>
      <c r="D23" s="56"/>
      <c r="E23" s="54" t="s">
        <v>104</v>
      </c>
      <c r="F23" s="56"/>
      <c r="G23" s="56"/>
      <c r="H23" s="56"/>
      <c r="I23" s="56"/>
      <c r="J23" s="56"/>
      <c r="K23" s="56"/>
      <c r="L23" s="56"/>
      <c r="M23" s="56"/>
      <c r="N23" s="56"/>
      <c r="O23" s="56"/>
      <c r="P23" s="56"/>
      <c r="Q23" s="56"/>
      <c r="R23" s="56"/>
      <c r="S23" s="56"/>
      <c r="T23" s="56"/>
      <c r="U23" s="56"/>
      <c r="V23" s="56"/>
      <c r="W23" s="56"/>
      <c r="X23" s="56"/>
      <c r="Y23" s="56"/>
      <c r="Z23" s="56"/>
      <c r="AA23" s="56"/>
      <c r="AB23" s="56"/>
      <c r="AC23" s="56"/>
      <c r="AD23" s="56"/>
      <c r="AE23" s="56"/>
      <c r="AF23" s="56"/>
      <c r="AG23" s="56"/>
      <c r="AH23" s="56"/>
      <c r="AI23" s="56"/>
      <c r="AJ23" s="56"/>
      <c r="AK23" s="56"/>
      <c r="AL23" s="56"/>
      <c r="AM23" s="56"/>
      <c r="AN23" s="56"/>
    </row>
    <row r="24" spans="1:40">
      <c r="A24" s="56"/>
      <c r="B24" s="56"/>
      <c r="C24" s="56"/>
      <c r="F24" t="s">
        <v>107</v>
      </c>
    </row>
    <row r="25" spans="1:40">
      <c r="A25" s="56"/>
      <c r="B25" s="56"/>
      <c r="C25" s="56"/>
    </row>
    <row r="26" spans="1:40">
      <c r="A26" s="56"/>
      <c r="B26" s="56"/>
      <c r="C26" s="56"/>
      <c r="D26" s="56"/>
      <c r="E26" s="56"/>
      <c r="F26" s="56"/>
      <c r="G26" s="56"/>
      <c r="H26" s="56"/>
      <c r="I26" s="56"/>
      <c r="J26" s="56"/>
      <c r="K26" s="56"/>
      <c r="L26" s="56"/>
      <c r="M26" s="56"/>
      <c r="N26" s="56"/>
      <c r="O26" s="56"/>
      <c r="P26" s="56"/>
      <c r="Q26" s="56"/>
      <c r="R26" s="56"/>
      <c r="S26" s="56"/>
      <c r="T26" s="56"/>
      <c r="U26" s="56"/>
      <c r="V26" s="56"/>
      <c r="W26" s="56"/>
      <c r="X26" s="56"/>
      <c r="Y26" s="56"/>
      <c r="Z26" s="56"/>
      <c r="AA26" s="56"/>
      <c r="AB26" s="56"/>
      <c r="AC26" s="56"/>
      <c r="AD26" s="56"/>
      <c r="AE26" s="56"/>
      <c r="AF26" s="56"/>
      <c r="AG26" s="56"/>
      <c r="AH26" s="56"/>
      <c r="AI26" s="56"/>
      <c r="AJ26" s="56"/>
      <c r="AK26" s="56"/>
      <c r="AL26" s="56"/>
      <c r="AM26" s="56"/>
      <c r="AN26" s="56"/>
    </row>
    <row r="27" spans="1:40">
      <c r="A27" s="56"/>
      <c r="B27" s="56"/>
      <c r="C27" s="56"/>
      <c r="D27" s="56"/>
      <c r="E27" s="56"/>
      <c r="F27" s="56"/>
      <c r="G27" s="56"/>
      <c r="H27" s="56"/>
      <c r="I27" s="56"/>
      <c r="J27" s="56"/>
      <c r="K27" s="56"/>
      <c r="L27" s="56"/>
      <c r="M27" s="56"/>
      <c r="N27" s="56"/>
      <c r="O27" s="56"/>
      <c r="P27" s="56"/>
      <c r="Q27" s="56"/>
      <c r="R27" s="56"/>
      <c r="S27" s="56"/>
      <c r="T27" s="56"/>
      <c r="U27" s="56"/>
      <c r="V27" s="56"/>
      <c r="W27" s="56"/>
      <c r="X27" s="56"/>
      <c r="Y27" s="56"/>
      <c r="Z27" s="56"/>
      <c r="AA27" s="56"/>
      <c r="AB27" s="56"/>
      <c r="AC27" s="56"/>
      <c r="AD27" s="56"/>
      <c r="AE27" s="56"/>
      <c r="AF27" s="56"/>
      <c r="AG27" s="56"/>
      <c r="AH27" s="56"/>
      <c r="AI27" s="56"/>
      <c r="AJ27" s="56"/>
      <c r="AK27" s="56"/>
      <c r="AL27" s="56"/>
      <c r="AM27" s="56"/>
      <c r="AN27" s="56"/>
    </row>
    <row r="28" spans="1:40">
      <c r="A28" s="56"/>
      <c r="B28" s="56"/>
      <c r="C28" s="56"/>
    </row>
    <row r="29" spans="1:40">
      <c r="A29" s="56"/>
      <c r="B29" s="56"/>
      <c r="C29" s="56"/>
    </row>
    <row r="30" spans="1:40">
      <c r="A30" s="56"/>
      <c r="B30" s="56"/>
      <c r="C30" s="56"/>
    </row>
    <row r="31" spans="1:40">
      <c r="A31" s="56"/>
      <c r="B31" s="56"/>
      <c r="C31" s="56"/>
    </row>
    <row r="32" spans="1:40">
      <c r="A32" s="56"/>
      <c r="B32" s="56"/>
      <c r="C32" s="56"/>
      <c r="D32" s="56"/>
      <c r="E32" s="56"/>
      <c r="F32" s="56"/>
      <c r="G32" s="56"/>
      <c r="H32" s="56"/>
      <c r="I32" s="56"/>
      <c r="J32" s="56"/>
      <c r="K32" s="56"/>
      <c r="L32" s="56"/>
      <c r="M32" s="56"/>
      <c r="N32" s="56"/>
      <c r="O32" s="56"/>
      <c r="P32" s="56"/>
      <c r="Q32" s="56"/>
      <c r="R32" s="56"/>
      <c r="S32" s="56"/>
      <c r="T32" s="56"/>
      <c r="U32" s="56"/>
      <c r="V32" s="56"/>
      <c r="W32" s="56"/>
      <c r="X32" s="56"/>
      <c r="Y32" s="56"/>
      <c r="Z32" s="56"/>
      <c r="AA32" s="56"/>
      <c r="AB32" s="56"/>
      <c r="AC32" s="56"/>
      <c r="AD32" s="56"/>
      <c r="AE32" s="56"/>
      <c r="AF32" s="56"/>
      <c r="AG32" s="56"/>
      <c r="AH32" s="56"/>
      <c r="AI32" s="56"/>
      <c r="AJ32" s="56"/>
      <c r="AK32" s="56"/>
      <c r="AL32" s="56"/>
      <c r="AM32" s="56"/>
      <c r="AN32" s="56"/>
    </row>
    <row r="33" spans="1:40">
      <c r="A33" s="56"/>
      <c r="B33" s="56"/>
      <c r="C33" s="56"/>
    </row>
    <row r="34" spans="1:40">
      <c r="A34" s="56"/>
      <c r="B34" s="56"/>
      <c r="C34" s="56"/>
      <c r="D34" s="54" t="s">
        <v>105</v>
      </c>
      <c r="E34" s="56"/>
      <c r="F34" s="56"/>
      <c r="G34" s="56"/>
      <c r="H34" s="56"/>
      <c r="I34" s="56"/>
      <c r="J34" s="56"/>
      <c r="K34" s="56"/>
      <c r="L34" s="56"/>
      <c r="M34" s="56"/>
      <c r="N34" s="56"/>
      <c r="O34" s="56"/>
      <c r="P34" s="56"/>
      <c r="Q34" s="56"/>
      <c r="R34" s="56"/>
      <c r="S34" s="56"/>
      <c r="T34" s="56"/>
      <c r="U34" s="56"/>
      <c r="V34" s="56"/>
      <c r="W34" s="56"/>
      <c r="X34" s="56"/>
      <c r="Y34" s="56"/>
      <c r="Z34" s="56"/>
      <c r="AA34" s="56"/>
      <c r="AB34" s="56"/>
      <c r="AC34" s="56"/>
      <c r="AD34" s="56"/>
      <c r="AE34" s="56"/>
      <c r="AF34" s="56"/>
      <c r="AG34" s="56"/>
      <c r="AH34" s="56"/>
      <c r="AI34" s="56"/>
      <c r="AJ34" s="56"/>
      <c r="AK34" s="56"/>
      <c r="AL34" s="56"/>
      <c r="AM34" s="56"/>
      <c r="AN34" s="56"/>
    </row>
    <row r="35" spans="1:40">
      <c r="A35" s="56"/>
      <c r="B35" s="56"/>
      <c r="C35" s="56"/>
      <c r="D35" s="56"/>
      <c r="E35" s="54" t="s">
        <v>106</v>
      </c>
      <c r="F35" s="56"/>
      <c r="G35" s="56"/>
      <c r="H35" s="56"/>
      <c r="I35" s="56"/>
      <c r="J35" s="56"/>
      <c r="K35" s="56"/>
      <c r="L35" s="56"/>
      <c r="M35" s="56"/>
      <c r="N35" s="56"/>
      <c r="O35" s="56"/>
      <c r="P35" s="56"/>
      <c r="Q35" s="56"/>
      <c r="R35" s="56"/>
      <c r="S35" s="56"/>
      <c r="T35" s="56"/>
      <c r="U35" s="56"/>
      <c r="V35" s="56"/>
      <c r="W35" s="56"/>
      <c r="X35" s="56"/>
      <c r="Y35" s="56"/>
      <c r="Z35" s="56"/>
      <c r="AA35" s="56"/>
      <c r="AB35" s="56"/>
      <c r="AC35" s="56"/>
      <c r="AD35" s="56"/>
      <c r="AE35" s="56"/>
      <c r="AF35" s="56"/>
      <c r="AG35" s="56"/>
      <c r="AH35" s="56"/>
      <c r="AI35" s="56"/>
      <c r="AJ35" s="56"/>
      <c r="AK35" s="56"/>
      <c r="AL35" s="56"/>
      <c r="AM35" s="56"/>
      <c r="AN35" s="56"/>
    </row>
    <row r="36" spans="1:40">
      <c r="A36" s="56"/>
      <c r="B36" s="56"/>
      <c r="C36" s="56"/>
      <c r="D36" s="56"/>
      <c r="E36" s="56"/>
      <c r="F36" s="56" t="s">
        <v>108</v>
      </c>
      <c r="G36" s="56"/>
      <c r="H36" s="56"/>
      <c r="I36" s="56"/>
      <c r="J36" s="56"/>
      <c r="K36" s="56"/>
      <c r="L36" s="56"/>
      <c r="M36" s="56"/>
      <c r="N36" s="56"/>
      <c r="O36" s="56"/>
      <c r="P36" s="56"/>
      <c r="Q36" s="56"/>
      <c r="R36" s="56"/>
      <c r="S36" s="56"/>
      <c r="T36" s="56"/>
      <c r="U36" s="56"/>
      <c r="V36" s="56"/>
      <c r="W36" s="56"/>
      <c r="X36" s="56"/>
      <c r="Y36" s="56"/>
      <c r="Z36" s="56"/>
      <c r="AA36" s="56"/>
      <c r="AB36" s="56"/>
      <c r="AC36" s="56"/>
      <c r="AD36" s="56"/>
      <c r="AE36" s="56"/>
      <c r="AF36" s="56"/>
      <c r="AG36" s="56"/>
      <c r="AH36" s="56"/>
      <c r="AI36" s="56"/>
      <c r="AJ36" s="56"/>
      <c r="AK36" s="56"/>
      <c r="AL36" s="56"/>
      <c r="AM36" s="56"/>
      <c r="AN36" s="56"/>
    </row>
    <row r="37" spans="1:40">
      <c r="A37" s="56"/>
      <c r="B37" s="56"/>
      <c r="C37" s="56"/>
      <c r="D37" s="56"/>
      <c r="E37" s="56"/>
      <c r="F37" s="56"/>
      <c r="G37" s="56"/>
      <c r="H37" s="56"/>
      <c r="I37" s="56"/>
      <c r="J37" s="56"/>
      <c r="K37" s="56"/>
      <c r="L37" s="56"/>
      <c r="M37" s="56"/>
      <c r="N37" s="56"/>
      <c r="O37" s="56"/>
      <c r="P37" s="56"/>
      <c r="Q37" s="56"/>
      <c r="R37" s="56"/>
      <c r="S37" s="56"/>
      <c r="T37" s="56"/>
      <c r="U37" s="56"/>
      <c r="V37" s="56"/>
      <c r="W37" s="56"/>
      <c r="X37" s="56"/>
      <c r="Y37" s="56"/>
      <c r="Z37" s="56"/>
      <c r="AA37" s="56"/>
      <c r="AB37" s="56"/>
      <c r="AC37" s="56"/>
      <c r="AD37" s="56"/>
      <c r="AE37" s="56"/>
      <c r="AF37" s="56"/>
      <c r="AG37" s="56"/>
      <c r="AH37" s="56"/>
      <c r="AI37" s="56"/>
      <c r="AJ37" s="56"/>
      <c r="AK37" s="56"/>
      <c r="AL37" s="56"/>
      <c r="AM37" s="56"/>
      <c r="AN37" s="56"/>
    </row>
    <row r="38" spans="1:40">
      <c r="A38" s="56"/>
      <c r="B38" s="56"/>
      <c r="C38" s="56"/>
      <c r="D38" s="56"/>
      <c r="E38" s="56"/>
      <c r="F38" s="56"/>
      <c r="G38" s="56"/>
      <c r="H38" s="56"/>
      <c r="I38" s="56"/>
      <c r="J38" s="56"/>
      <c r="K38" s="56"/>
      <c r="L38" s="56"/>
      <c r="M38" s="56"/>
      <c r="N38" s="56"/>
      <c r="O38" s="56"/>
      <c r="P38" s="56"/>
      <c r="Q38" s="56"/>
      <c r="R38" s="56"/>
      <c r="S38" s="56"/>
      <c r="T38" s="56"/>
      <c r="U38" s="56"/>
      <c r="V38" s="56"/>
      <c r="W38" s="56"/>
      <c r="X38" s="56"/>
      <c r="Y38" s="56"/>
      <c r="Z38" s="56"/>
      <c r="AA38" s="56"/>
      <c r="AB38" s="56"/>
      <c r="AC38" s="56"/>
      <c r="AD38" s="56"/>
      <c r="AE38" s="56"/>
      <c r="AF38" s="56"/>
      <c r="AG38" s="56"/>
      <c r="AH38" s="56"/>
      <c r="AI38" s="56"/>
      <c r="AJ38" s="56"/>
      <c r="AK38" s="56"/>
      <c r="AL38" s="56"/>
      <c r="AM38" s="56"/>
      <c r="AN38" s="56"/>
    </row>
    <row r="39" spans="1:40">
      <c r="A39" s="56"/>
      <c r="B39" s="56"/>
      <c r="C39" s="56"/>
      <c r="D39" s="56"/>
      <c r="E39" s="56"/>
      <c r="F39" s="56"/>
      <c r="G39" s="56"/>
      <c r="H39" s="56"/>
      <c r="I39" s="56"/>
      <c r="J39" s="56"/>
      <c r="K39" s="56"/>
      <c r="L39" s="56"/>
      <c r="M39" s="56"/>
      <c r="N39" s="56"/>
      <c r="O39" s="56"/>
      <c r="P39" s="56"/>
      <c r="Q39" s="56"/>
      <c r="R39" s="56"/>
      <c r="S39" s="56"/>
      <c r="T39" s="56"/>
      <c r="U39" s="56"/>
      <c r="V39" s="56"/>
      <c r="W39" s="56"/>
      <c r="X39" s="56"/>
      <c r="Y39" s="56"/>
      <c r="Z39" s="56"/>
      <c r="AA39" s="56"/>
      <c r="AB39" s="56"/>
      <c r="AC39" s="56"/>
      <c r="AD39" s="56"/>
      <c r="AE39" s="56"/>
      <c r="AF39" s="56"/>
      <c r="AG39" s="56"/>
      <c r="AH39" s="56"/>
      <c r="AI39" s="56"/>
      <c r="AJ39" s="56"/>
      <c r="AK39" s="56"/>
      <c r="AL39" s="56"/>
      <c r="AM39" s="56"/>
      <c r="AN39" s="56"/>
    </row>
    <row r="40" spans="1:40">
      <c r="A40" s="56"/>
      <c r="B40" s="56"/>
      <c r="C40" s="56"/>
      <c r="D40" s="56"/>
      <c r="E40" s="56"/>
      <c r="F40" s="56"/>
      <c r="G40" s="56"/>
      <c r="H40" s="56"/>
      <c r="I40" s="56"/>
      <c r="J40" s="56"/>
      <c r="K40" s="56"/>
      <c r="L40" s="56"/>
      <c r="M40" s="56"/>
      <c r="N40" s="56"/>
      <c r="O40" s="56"/>
      <c r="P40" s="56"/>
      <c r="Q40" s="56"/>
      <c r="R40" s="56"/>
      <c r="S40" s="56"/>
      <c r="T40" s="56"/>
      <c r="U40" s="56"/>
      <c r="V40" s="56"/>
      <c r="W40" s="56"/>
      <c r="X40" s="56"/>
      <c r="Y40" s="56"/>
      <c r="Z40" s="56"/>
      <c r="AA40" s="56"/>
      <c r="AB40" s="56"/>
      <c r="AC40" s="56"/>
      <c r="AD40" s="56"/>
      <c r="AE40" s="56"/>
      <c r="AF40" s="56"/>
      <c r="AG40" s="56"/>
      <c r="AH40" s="56"/>
      <c r="AI40" s="56"/>
      <c r="AJ40" s="56"/>
      <c r="AK40" s="56"/>
      <c r="AL40" s="56"/>
      <c r="AM40" s="56"/>
      <c r="AN40" s="56"/>
    </row>
    <row r="41" spans="1:40">
      <c r="A41" s="56"/>
      <c r="B41" s="56"/>
      <c r="C41" s="56"/>
      <c r="D41" s="56"/>
      <c r="E41" s="56"/>
      <c r="F41" s="56"/>
      <c r="G41" s="56"/>
      <c r="H41" s="56"/>
      <c r="I41" s="56"/>
      <c r="J41" s="56"/>
      <c r="K41" s="56"/>
      <c r="L41" s="56"/>
      <c r="M41" s="56"/>
      <c r="N41" s="56"/>
      <c r="O41" s="56"/>
      <c r="P41" s="56"/>
      <c r="Q41" s="56"/>
      <c r="R41" s="56"/>
      <c r="S41" s="56"/>
      <c r="T41" s="56"/>
      <c r="U41" s="56"/>
      <c r="V41" s="56"/>
      <c r="W41" s="56"/>
      <c r="X41" s="56"/>
      <c r="Y41" s="56"/>
      <c r="Z41" s="56"/>
      <c r="AA41" s="56"/>
      <c r="AB41" s="56"/>
      <c r="AC41" s="56"/>
      <c r="AD41" s="56"/>
      <c r="AE41" s="56"/>
      <c r="AF41" s="56"/>
      <c r="AG41" s="56"/>
      <c r="AH41" s="56"/>
      <c r="AI41" s="56"/>
      <c r="AJ41" s="56"/>
      <c r="AK41" s="56"/>
      <c r="AL41" s="56"/>
      <c r="AM41" s="56"/>
      <c r="AN41" s="56"/>
    </row>
    <row r="42" spans="1:40">
      <c r="A42" s="56"/>
      <c r="B42" s="56"/>
      <c r="C42" s="56"/>
      <c r="D42" s="56"/>
      <c r="E42" s="56"/>
      <c r="F42" s="56"/>
      <c r="G42" s="56"/>
      <c r="H42" s="56"/>
      <c r="I42" s="56"/>
      <c r="J42" s="56"/>
      <c r="K42" s="56"/>
      <c r="L42" s="56"/>
      <c r="M42" s="56"/>
      <c r="N42" s="56"/>
      <c r="O42" s="56"/>
      <c r="P42" s="56"/>
      <c r="Q42" s="56"/>
      <c r="R42" s="56"/>
      <c r="S42" s="56"/>
      <c r="T42" s="56"/>
      <c r="U42" s="56"/>
      <c r="V42" s="56"/>
      <c r="W42" s="56"/>
      <c r="X42" s="56"/>
      <c r="Y42" s="56"/>
      <c r="Z42" s="56"/>
      <c r="AA42" s="56"/>
      <c r="AB42" s="56"/>
      <c r="AC42" s="56"/>
      <c r="AD42" s="56"/>
      <c r="AE42" s="56"/>
      <c r="AF42" s="56"/>
      <c r="AG42" s="56"/>
      <c r="AH42" s="56"/>
      <c r="AI42" s="56"/>
      <c r="AJ42" s="56"/>
      <c r="AK42" s="56"/>
      <c r="AL42" s="56"/>
      <c r="AM42" s="56"/>
      <c r="AN42" s="56"/>
    </row>
    <row r="43" spans="1:40">
      <c r="A43" s="56"/>
      <c r="B43" s="56"/>
      <c r="C43" s="56"/>
      <c r="D43" s="56"/>
      <c r="E43" s="56"/>
      <c r="F43" s="56"/>
      <c r="G43" s="56"/>
      <c r="H43" s="56"/>
      <c r="I43" s="56"/>
      <c r="J43" s="56"/>
      <c r="K43" s="56"/>
      <c r="L43" s="56"/>
      <c r="M43" s="56"/>
      <c r="N43" s="56"/>
      <c r="O43" s="56"/>
      <c r="P43" s="56"/>
      <c r="Q43" s="56"/>
      <c r="R43" s="56"/>
      <c r="S43" s="56"/>
      <c r="T43" s="56"/>
      <c r="U43" s="56"/>
      <c r="V43" s="56"/>
      <c r="W43" s="56"/>
      <c r="X43" s="56"/>
      <c r="Y43" s="56"/>
      <c r="Z43" s="56"/>
      <c r="AA43" s="56"/>
      <c r="AB43" s="56"/>
      <c r="AC43" s="56"/>
      <c r="AD43" s="56"/>
      <c r="AE43" s="56"/>
      <c r="AF43" s="56"/>
      <c r="AG43" s="56"/>
      <c r="AH43" s="56"/>
      <c r="AI43" s="56"/>
      <c r="AJ43" s="56"/>
      <c r="AK43" s="56"/>
      <c r="AL43" s="56"/>
      <c r="AM43" s="56"/>
      <c r="AN43" s="56"/>
    </row>
    <row r="44" spans="1:40">
      <c r="A44" s="56"/>
      <c r="B44" s="56"/>
      <c r="C44" s="56"/>
      <c r="D44" s="56"/>
      <c r="E44" s="56"/>
      <c r="F44" s="56"/>
      <c r="G44" s="56"/>
      <c r="H44" s="56"/>
      <c r="I44" s="56"/>
      <c r="J44" s="56"/>
      <c r="K44" s="56"/>
      <c r="L44" s="56"/>
      <c r="M44" s="56"/>
      <c r="N44" s="56"/>
      <c r="O44" s="56"/>
      <c r="P44" s="56"/>
      <c r="Q44" s="56"/>
      <c r="R44" s="56"/>
      <c r="S44" s="56"/>
      <c r="T44" s="56"/>
      <c r="U44" s="56"/>
      <c r="V44" s="56"/>
      <c r="W44" s="56"/>
      <c r="X44" s="56"/>
      <c r="Y44" s="56"/>
      <c r="Z44" s="56"/>
      <c r="AA44" s="56"/>
      <c r="AB44" s="56"/>
      <c r="AC44" s="56"/>
      <c r="AD44" s="56"/>
      <c r="AE44" s="56"/>
      <c r="AF44" s="56"/>
      <c r="AG44" s="56"/>
      <c r="AH44" s="56"/>
      <c r="AI44" s="56"/>
      <c r="AJ44" s="56"/>
      <c r="AK44" s="56"/>
      <c r="AL44" s="56"/>
      <c r="AM44" s="56"/>
      <c r="AN44" s="56"/>
    </row>
    <row r="45" spans="1:40">
      <c r="A45" s="56"/>
      <c r="B45" s="56"/>
      <c r="C45" s="56"/>
      <c r="D45" s="56"/>
      <c r="E45" s="56"/>
      <c r="F45" s="56"/>
      <c r="G45" s="56"/>
      <c r="H45" s="56"/>
      <c r="I45" s="56"/>
      <c r="J45" s="56"/>
      <c r="K45" s="56"/>
      <c r="L45" s="56"/>
      <c r="M45" s="56"/>
      <c r="N45" s="56"/>
      <c r="O45" s="56"/>
      <c r="P45" s="56"/>
      <c r="Q45" s="56"/>
      <c r="R45" s="56"/>
      <c r="S45" s="56"/>
      <c r="T45" s="56"/>
      <c r="U45" s="56"/>
      <c r="V45" s="56"/>
      <c r="W45" s="56"/>
      <c r="X45" s="56"/>
      <c r="Y45" s="56"/>
      <c r="Z45" s="56"/>
      <c r="AA45" s="56"/>
      <c r="AB45" s="56"/>
      <c r="AC45" s="56"/>
      <c r="AD45" s="56"/>
      <c r="AE45" s="56"/>
      <c r="AF45" s="56"/>
      <c r="AG45" s="56"/>
      <c r="AH45" s="56"/>
      <c r="AI45" s="56"/>
      <c r="AJ45" s="56"/>
      <c r="AK45" s="56"/>
      <c r="AL45" s="56"/>
      <c r="AM45" s="56"/>
      <c r="AN45" s="56"/>
    </row>
    <row r="46" spans="1:40">
      <c r="A46" s="56"/>
      <c r="B46" s="56"/>
      <c r="C46" s="56"/>
      <c r="D46" s="54" t="s">
        <v>109</v>
      </c>
      <c r="E46" s="56"/>
      <c r="F46" s="56"/>
      <c r="G46" s="56"/>
      <c r="H46" s="56"/>
      <c r="I46" s="56"/>
      <c r="J46" s="56"/>
      <c r="K46" s="56"/>
      <c r="L46" s="56"/>
      <c r="M46" s="56"/>
      <c r="N46" s="56"/>
      <c r="O46" s="56"/>
      <c r="P46" s="56"/>
      <c r="Q46" s="56"/>
      <c r="R46" s="56"/>
      <c r="S46" s="56"/>
      <c r="T46" s="56"/>
      <c r="U46" s="56"/>
      <c r="V46" s="56"/>
      <c r="W46" s="56"/>
      <c r="X46" s="56"/>
      <c r="Y46" s="56"/>
      <c r="Z46" s="56"/>
      <c r="AA46" s="56"/>
      <c r="AB46" s="56"/>
      <c r="AC46" s="56"/>
      <c r="AD46" s="56"/>
      <c r="AE46" s="56"/>
      <c r="AF46" s="56"/>
      <c r="AG46" s="56"/>
      <c r="AH46" s="56"/>
      <c r="AI46" s="56"/>
      <c r="AJ46" s="56"/>
      <c r="AK46" s="56"/>
      <c r="AL46" s="56"/>
      <c r="AM46" s="56"/>
      <c r="AN46" s="56"/>
    </row>
    <row r="47" spans="1:40">
      <c r="A47" s="56"/>
      <c r="B47" s="56"/>
      <c r="C47" s="56"/>
      <c r="D47" s="56"/>
      <c r="E47" s="56"/>
      <c r="F47" s="56" t="s">
        <v>110</v>
      </c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6"/>
      <c r="U47" s="56"/>
      <c r="V47" s="56"/>
      <c r="W47" s="56"/>
      <c r="X47" s="56"/>
      <c r="Y47" s="56"/>
      <c r="Z47" s="56"/>
      <c r="AA47" s="56"/>
      <c r="AB47" s="56"/>
      <c r="AC47" s="56"/>
      <c r="AD47" s="56"/>
      <c r="AE47" s="56"/>
      <c r="AF47" s="56"/>
      <c r="AG47" s="56"/>
      <c r="AH47" s="56"/>
      <c r="AI47" s="56"/>
      <c r="AJ47" s="56"/>
      <c r="AK47" s="56"/>
      <c r="AL47" s="56"/>
      <c r="AM47" s="56"/>
      <c r="AN47" s="56"/>
    </row>
    <row r="48" spans="1:40">
      <c r="A48" s="56"/>
      <c r="B48" s="56"/>
      <c r="C48" s="56"/>
      <c r="D48" s="56"/>
      <c r="E48" s="56"/>
      <c r="F48" s="56"/>
      <c r="G48" s="56"/>
      <c r="H48" s="56"/>
      <c r="I48" s="56"/>
      <c r="J48" s="56"/>
      <c r="K48" s="56"/>
      <c r="L48" s="56"/>
      <c r="M48" s="56"/>
      <c r="N48" s="56"/>
      <c r="O48" s="56"/>
      <c r="P48" s="56"/>
      <c r="Q48" s="56"/>
      <c r="R48" s="56"/>
      <c r="S48" s="56"/>
      <c r="T48" s="56"/>
      <c r="U48" s="56"/>
      <c r="V48" s="56"/>
      <c r="W48" s="56"/>
      <c r="X48" s="56"/>
      <c r="Y48" s="56"/>
      <c r="Z48" s="56"/>
      <c r="AA48" s="56"/>
      <c r="AB48" s="56"/>
      <c r="AC48" s="56"/>
      <c r="AD48" s="56"/>
      <c r="AE48" s="56"/>
      <c r="AF48" s="56"/>
      <c r="AG48" s="56"/>
      <c r="AH48" s="56"/>
      <c r="AI48" s="56"/>
      <c r="AJ48" s="56"/>
      <c r="AK48" s="56"/>
      <c r="AL48" s="56"/>
      <c r="AM48" s="56"/>
      <c r="AN48" s="56"/>
    </row>
    <row r="49" spans="1:40">
      <c r="A49" s="56"/>
      <c r="B49" s="56"/>
      <c r="C49" s="56"/>
      <c r="D49" s="56"/>
      <c r="E49" s="56"/>
      <c r="F49" s="56"/>
      <c r="G49" s="56"/>
      <c r="H49" s="56"/>
      <c r="I49" s="56"/>
      <c r="J49" s="56"/>
      <c r="K49" s="56"/>
      <c r="L49" s="56"/>
      <c r="M49" s="56"/>
      <c r="N49" s="56"/>
      <c r="O49" s="56"/>
      <c r="P49" s="56"/>
      <c r="Q49" s="56"/>
      <c r="R49" s="56"/>
      <c r="S49" s="56"/>
      <c r="T49" s="56"/>
      <c r="U49" s="56"/>
      <c r="V49" s="56"/>
      <c r="W49" s="56"/>
      <c r="X49" s="56"/>
      <c r="Y49" s="56"/>
      <c r="Z49" s="56"/>
      <c r="AA49" s="56"/>
      <c r="AB49" s="56"/>
      <c r="AC49" s="56"/>
      <c r="AD49" s="56"/>
      <c r="AE49" s="56"/>
      <c r="AF49" s="56"/>
      <c r="AG49" s="56"/>
      <c r="AH49" s="56"/>
      <c r="AI49" s="56"/>
      <c r="AJ49" s="56"/>
      <c r="AK49" s="56"/>
      <c r="AL49" s="56"/>
      <c r="AM49" s="56"/>
      <c r="AN49" s="56"/>
    </row>
    <row r="50" spans="1:40">
      <c r="A50" s="56"/>
      <c r="B50" s="56"/>
      <c r="C50" s="56"/>
      <c r="D50" s="56"/>
      <c r="E50" s="56"/>
      <c r="F50" s="56"/>
      <c r="G50" s="56"/>
      <c r="H50" s="56"/>
      <c r="I50" s="56"/>
      <c r="J50" s="56"/>
      <c r="K50" s="56"/>
      <c r="L50" s="56"/>
      <c r="M50" s="56"/>
      <c r="N50" s="56"/>
      <c r="O50" s="56"/>
      <c r="P50" s="56"/>
      <c r="Q50" s="56"/>
      <c r="R50" s="56"/>
      <c r="S50" s="56"/>
      <c r="T50" s="56"/>
      <c r="U50" s="56"/>
      <c r="V50" s="56"/>
      <c r="W50" s="56"/>
      <c r="X50" s="56"/>
      <c r="Y50" s="56"/>
      <c r="Z50" s="56"/>
      <c r="AA50" s="56"/>
      <c r="AB50" s="56"/>
      <c r="AC50" s="56"/>
      <c r="AD50" s="56"/>
      <c r="AE50" s="56"/>
      <c r="AF50" s="56"/>
      <c r="AG50" s="56"/>
      <c r="AH50" s="56"/>
      <c r="AI50" s="56"/>
      <c r="AJ50" s="56"/>
      <c r="AK50" s="56"/>
      <c r="AL50" s="56"/>
      <c r="AM50" s="56"/>
      <c r="AN50" s="56"/>
    </row>
    <row r="51" spans="1:40">
      <c r="A51" s="56"/>
      <c r="B51" s="56"/>
      <c r="C51" s="56"/>
      <c r="D51" s="56"/>
      <c r="E51" s="56"/>
      <c r="F51" s="56"/>
      <c r="G51" s="56"/>
      <c r="H51" s="56"/>
      <c r="I51" s="56"/>
      <c r="J51" s="56"/>
      <c r="K51" s="56"/>
      <c r="L51" s="56"/>
      <c r="M51" s="56"/>
      <c r="N51" s="56"/>
      <c r="O51" s="56"/>
      <c r="P51" s="56"/>
      <c r="Q51" s="56"/>
      <c r="R51" s="56"/>
      <c r="S51" s="56"/>
      <c r="T51" s="56"/>
      <c r="U51" s="56"/>
      <c r="V51" s="56"/>
      <c r="W51" s="56"/>
      <c r="X51" s="56"/>
      <c r="Y51" s="56"/>
      <c r="Z51" s="56"/>
      <c r="AA51" s="56"/>
      <c r="AB51" s="56"/>
      <c r="AC51" s="56"/>
      <c r="AD51" s="56"/>
      <c r="AE51" s="56"/>
      <c r="AF51" s="56"/>
      <c r="AG51" s="56"/>
      <c r="AH51" s="56"/>
      <c r="AI51" s="56"/>
      <c r="AJ51" s="56"/>
      <c r="AK51" s="56"/>
      <c r="AL51" s="56"/>
      <c r="AM51" s="56"/>
      <c r="AN51" s="56"/>
    </row>
    <row r="52" spans="1:40">
      <c r="A52" s="56"/>
      <c r="B52" s="56"/>
      <c r="C52" s="56"/>
      <c r="D52" s="56"/>
      <c r="E52" s="56"/>
      <c r="F52" s="56"/>
      <c r="G52" s="56"/>
      <c r="H52" s="56"/>
      <c r="I52" s="56"/>
      <c r="J52" s="56"/>
      <c r="K52" s="56"/>
      <c r="L52" s="56"/>
      <c r="M52" s="56"/>
      <c r="N52" s="56"/>
      <c r="O52" s="56"/>
      <c r="P52" s="56"/>
      <c r="Q52" s="56"/>
      <c r="R52" s="56"/>
      <c r="S52" s="56"/>
      <c r="T52" s="56"/>
      <c r="U52" s="56"/>
      <c r="V52" s="56"/>
      <c r="W52" s="56"/>
      <c r="X52" s="56"/>
      <c r="Y52" s="56"/>
      <c r="Z52" s="56"/>
      <c r="AA52" s="56"/>
      <c r="AB52" s="56"/>
      <c r="AC52" s="56"/>
      <c r="AD52" s="56"/>
      <c r="AE52" s="56"/>
      <c r="AF52" s="56"/>
      <c r="AG52" s="56"/>
      <c r="AH52" s="56"/>
      <c r="AI52" s="56"/>
      <c r="AJ52" s="56"/>
      <c r="AK52" s="56"/>
      <c r="AL52" s="56"/>
      <c r="AM52" s="56"/>
      <c r="AN52" s="56"/>
    </row>
    <row r="53" spans="1:40">
      <c r="A53" s="56"/>
      <c r="B53" s="56"/>
      <c r="C53" s="56"/>
      <c r="D53" s="56"/>
      <c r="E53" s="56"/>
      <c r="F53" s="56"/>
      <c r="G53" s="56"/>
      <c r="H53" s="56"/>
      <c r="I53" s="56"/>
      <c r="J53" s="56"/>
      <c r="K53" s="56"/>
      <c r="L53" s="56"/>
      <c r="M53" s="56"/>
      <c r="N53" s="56"/>
      <c r="O53" s="56"/>
      <c r="P53" s="56"/>
      <c r="Q53" s="56"/>
      <c r="R53" s="56"/>
      <c r="S53" s="56"/>
      <c r="T53" s="56"/>
      <c r="U53" s="56"/>
      <c r="V53" s="56"/>
      <c r="W53" s="56"/>
      <c r="X53" s="56"/>
      <c r="Y53" s="56"/>
      <c r="Z53" s="56"/>
      <c r="AA53" s="56"/>
      <c r="AB53" s="56"/>
      <c r="AC53" s="56"/>
      <c r="AD53" s="56"/>
      <c r="AE53" s="56"/>
      <c r="AF53" s="56"/>
      <c r="AG53" s="56"/>
      <c r="AH53" s="56"/>
      <c r="AI53" s="56"/>
      <c r="AJ53" s="56"/>
      <c r="AK53" s="56"/>
      <c r="AL53" s="56"/>
      <c r="AM53" s="56"/>
      <c r="AN53" s="56"/>
    </row>
    <row r="54" spans="1:40">
      <c r="A54" s="56"/>
      <c r="B54" s="56"/>
      <c r="C54" s="56"/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6"/>
      <c r="W54" s="56"/>
      <c r="X54" s="56"/>
      <c r="Y54" s="56"/>
      <c r="Z54" s="56"/>
      <c r="AA54" s="56"/>
      <c r="AB54" s="56"/>
      <c r="AC54" s="56"/>
      <c r="AD54" s="56"/>
      <c r="AE54" s="56"/>
      <c r="AF54" s="56"/>
      <c r="AG54" s="56"/>
      <c r="AH54" s="56"/>
      <c r="AI54" s="56"/>
      <c r="AJ54" s="56"/>
      <c r="AK54" s="56"/>
      <c r="AL54" s="56"/>
      <c r="AM54" s="56"/>
      <c r="AN54" s="56"/>
    </row>
    <row r="55" spans="1:40">
      <c r="A55" s="56"/>
      <c r="B55" s="56"/>
      <c r="C55" s="56"/>
      <c r="D55" s="56"/>
      <c r="E55" s="56"/>
      <c r="F55" s="56"/>
      <c r="G55" s="56"/>
      <c r="H55" s="56"/>
      <c r="I55" s="56"/>
      <c r="J55" s="56"/>
      <c r="K55" s="56"/>
      <c r="L55" s="56"/>
      <c r="M55" s="56"/>
      <c r="N55" s="56"/>
      <c r="O55" s="56"/>
      <c r="P55" s="56"/>
      <c r="Q55" s="56"/>
      <c r="R55" s="56"/>
      <c r="S55" s="56"/>
      <c r="T55" s="56"/>
      <c r="U55" s="56"/>
      <c r="V55" s="56"/>
      <c r="W55" s="56"/>
      <c r="X55" s="56"/>
      <c r="Y55" s="56"/>
      <c r="Z55" s="56"/>
      <c r="AA55" s="56"/>
      <c r="AB55" s="56"/>
      <c r="AC55" s="56"/>
      <c r="AD55" s="56"/>
      <c r="AE55" s="56"/>
      <c r="AF55" s="56"/>
      <c r="AG55" s="56"/>
      <c r="AH55" s="56"/>
      <c r="AI55" s="56"/>
      <c r="AJ55" s="56"/>
      <c r="AK55" s="56"/>
      <c r="AL55" s="56"/>
      <c r="AM55" s="56"/>
      <c r="AN55" s="56"/>
    </row>
    <row r="56" spans="1:40">
      <c r="A56" s="56"/>
      <c r="B56" s="56"/>
      <c r="C56" s="56"/>
      <c r="D56" s="56"/>
      <c r="E56" s="56"/>
      <c r="F56" s="56"/>
      <c r="G56" s="56"/>
      <c r="H56" s="56"/>
      <c r="I56" s="56"/>
      <c r="J56" s="56"/>
      <c r="K56" s="56"/>
      <c r="L56" s="56"/>
      <c r="M56" s="56"/>
      <c r="N56" s="56"/>
      <c r="O56" s="56"/>
      <c r="P56" s="56"/>
      <c r="Q56" s="56"/>
      <c r="R56" s="56"/>
      <c r="S56" s="56"/>
      <c r="T56" s="56"/>
      <c r="U56" s="56"/>
      <c r="V56" s="56"/>
      <c r="W56" s="56"/>
      <c r="X56" s="56"/>
      <c r="Y56" s="56"/>
      <c r="Z56" s="56"/>
      <c r="AA56" s="56"/>
      <c r="AB56" s="56"/>
      <c r="AC56" s="56"/>
      <c r="AD56" s="56"/>
      <c r="AE56" s="56"/>
      <c r="AF56" s="56"/>
      <c r="AG56" s="56"/>
      <c r="AH56" s="56"/>
      <c r="AI56" s="56"/>
      <c r="AJ56" s="56"/>
      <c r="AK56" s="56"/>
      <c r="AL56" s="56"/>
      <c r="AM56" s="56"/>
      <c r="AN56" s="56"/>
    </row>
    <row r="57" spans="1:40">
      <c r="A57" s="56"/>
      <c r="B57" s="56"/>
      <c r="C57" s="56"/>
      <c r="D57" s="56"/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6"/>
      <c r="W57" s="56"/>
      <c r="X57" s="56"/>
      <c r="Y57" s="56"/>
      <c r="Z57" s="56"/>
      <c r="AA57" s="56"/>
      <c r="AB57" s="56"/>
      <c r="AC57" s="56"/>
      <c r="AD57" s="56"/>
      <c r="AE57" s="56"/>
      <c r="AF57" s="56"/>
      <c r="AG57" s="56"/>
      <c r="AH57" s="56"/>
      <c r="AI57" s="56"/>
      <c r="AJ57" s="56"/>
      <c r="AK57" s="56"/>
      <c r="AL57" s="56"/>
      <c r="AM57" s="56"/>
      <c r="AN57" s="56"/>
    </row>
    <row r="58" spans="1:40">
      <c r="A58" s="56"/>
      <c r="B58" s="56"/>
      <c r="C58" s="56"/>
    </row>
    <row r="59" spans="1:40">
      <c r="A59" s="56"/>
      <c r="B59" s="56"/>
      <c r="C59" s="56"/>
      <c r="D59" s="54" t="s">
        <v>112</v>
      </c>
      <c r="E59" s="56"/>
      <c r="F59" s="56"/>
      <c r="G59" s="56"/>
      <c r="H59" s="56"/>
      <c r="I59" s="56"/>
      <c r="J59" s="56"/>
      <c r="K59" s="56"/>
      <c r="L59" s="56"/>
      <c r="M59" s="56"/>
      <c r="N59" s="56"/>
      <c r="O59" s="56"/>
      <c r="P59" s="56"/>
      <c r="Q59" s="56"/>
      <c r="R59" s="56"/>
      <c r="S59" s="56"/>
      <c r="T59" s="56"/>
      <c r="U59" s="56"/>
      <c r="V59" s="56"/>
      <c r="W59" s="56"/>
      <c r="X59" s="56"/>
      <c r="Y59" s="56"/>
      <c r="Z59" s="56"/>
      <c r="AA59" s="56"/>
      <c r="AB59" s="56"/>
      <c r="AC59" s="56"/>
      <c r="AD59" s="56"/>
      <c r="AE59" s="56"/>
      <c r="AF59" s="56"/>
      <c r="AG59" s="56"/>
      <c r="AH59" s="56"/>
      <c r="AI59" s="56"/>
      <c r="AJ59" s="56"/>
      <c r="AK59" s="56"/>
      <c r="AL59" s="56"/>
      <c r="AM59" s="56"/>
      <c r="AN59" s="56"/>
    </row>
    <row r="60" spans="1:40">
      <c r="A60" s="56"/>
      <c r="B60" s="56"/>
      <c r="C60" s="56"/>
      <c r="D60" s="56"/>
      <c r="E60" s="54" t="s">
        <v>113</v>
      </c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6"/>
      <c r="W60" s="56"/>
      <c r="X60" s="56"/>
      <c r="Y60" s="56"/>
      <c r="Z60" s="56"/>
      <c r="AA60" s="56"/>
      <c r="AB60" s="56"/>
      <c r="AC60" s="56"/>
      <c r="AD60" s="56"/>
      <c r="AE60" s="56"/>
      <c r="AF60" s="56"/>
      <c r="AG60" s="56"/>
      <c r="AH60" s="56"/>
      <c r="AI60" s="56"/>
      <c r="AJ60" s="56"/>
      <c r="AK60" s="56"/>
      <c r="AL60" s="56"/>
      <c r="AM60" s="56"/>
      <c r="AN60" s="56"/>
    </row>
    <row r="61" spans="1:40">
      <c r="A61" s="56"/>
      <c r="B61" s="56"/>
      <c r="C61" s="56"/>
      <c r="D61" s="56"/>
      <c r="F61" t="s">
        <v>117</v>
      </c>
      <c r="AA61" s="56"/>
      <c r="AB61" s="56"/>
      <c r="AC61" s="56"/>
      <c r="AD61" s="56"/>
      <c r="AE61" s="56"/>
      <c r="AF61" s="56"/>
      <c r="AG61" s="56"/>
      <c r="AH61" s="56"/>
      <c r="AI61" s="56"/>
      <c r="AJ61" s="56"/>
      <c r="AK61" s="56"/>
      <c r="AL61" s="56"/>
      <c r="AM61" s="56"/>
      <c r="AN61" s="56"/>
    </row>
    <row r="62" spans="1:40">
      <c r="A62" s="56"/>
      <c r="B62" s="56"/>
      <c r="C62" s="56"/>
      <c r="D62" s="56"/>
      <c r="G62" t="s">
        <v>118</v>
      </c>
      <c r="AA62" s="56"/>
      <c r="AB62" s="56"/>
      <c r="AC62" s="56"/>
      <c r="AD62" s="56"/>
      <c r="AE62" s="56"/>
      <c r="AF62" s="56"/>
      <c r="AG62" s="56"/>
      <c r="AH62" s="56"/>
      <c r="AI62" s="56"/>
      <c r="AJ62" s="56"/>
      <c r="AK62" s="56"/>
      <c r="AL62" s="56"/>
      <c r="AM62" s="56"/>
      <c r="AN62" s="56"/>
    </row>
    <row r="63" spans="1:40">
      <c r="A63" s="56"/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6"/>
      <c r="W63" s="56"/>
      <c r="X63" s="56"/>
      <c r="Y63" s="56"/>
      <c r="Z63" s="56"/>
      <c r="AA63" s="56"/>
      <c r="AB63" s="56"/>
      <c r="AC63" s="56"/>
      <c r="AD63" s="56"/>
      <c r="AE63" s="56"/>
      <c r="AF63" s="56"/>
      <c r="AG63" s="56"/>
      <c r="AH63" s="56"/>
      <c r="AI63" s="56"/>
      <c r="AJ63" s="56"/>
      <c r="AK63" s="56"/>
      <c r="AL63" s="56"/>
      <c r="AM63" s="56"/>
      <c r="AN63" s="56"/>
    </row>
    <row r="64" spans="1:40">
      <c r="A64" s="56"/>
      <c r="B64" s="56"/>
      <c r="C64" s="56"/>
      <c r="D64" s="56"/>
      <c r="E64" s="56"/>
      <c r="F64" s="56"/>
      <c r="G64" s="56"/>
      <c r="H64" s="56"/>
      <c r="I64" s="56"/>
      <c r="J64" s="56"/>
      <c r="K64" s="56"/>
      <c r="L64" s="56"/>
      <c r="M64" s="56"/>
      <c r="N64" s="56"/>
      <c r="O64" s="56"/>
      <c r="P64" s="56"/>
      <c r="Q64" s="56"/>
      <c r="R64" s="56"/>
      <c r="S64" s="56"/>
      <c r="T64" s="56"/>
      <c r="U64" s="56"/>
      <c r="V64" s="56"/>
      <c r="W64" s="56"/>
      <c r="X64" s="56"/>
      <c r="Y64" s="56"/>
      <c r="Z64" s="56"/>
      <c r="AA64" s="56"/>
      <c r="AB64" s="56"/>
      <c r="AC64" s="56"/>
      <c r="AD64" s="56"/>
      <c r="AE64" s="56"/>
      <c r="AF64" s="56"/>
      <c r="AG64" s="56"/>
      <c r="AH64" s="56"/>
      <c r="AI64" s="56"/>
      <c r="AJ64" s="56"/>
      <c r="AK64" s="56"/>
      <c r="AL64" s="56"/>
      <c r="AM64" s="56"/>
      <c r="AN64" s="56"/>
    </row>
    <row r="65" spans="1:40">
      <c r="A65" s="56"/>
      <c r="B65" s="56"/>
      <c r="C65" s="56"/>
      <c r="D65" s="56"/>
      <c r="E65" s="56"/>
      <c r="F65" s="56"/>
      <c r="G65" s="56"/>
      <c r="H65" s="56"/>
      <c r="I65" s="56"/>
      <c r="J65" s="56"/>
      <c r="K65" s="56"/>
      <c r="L65" s="56"/>
      <c r="M65" s="56"/>
      <c r="N65" s="56"/>
      <c r="O65" s="56"/>
      <c r="P65" s="56"/>
      <c r="Q65" s="56"/>
      <c r="R65" s="56"/>
      <c r="S65" s="56"/>
      <c r="T65" s="56"/>
      <c r="U65" s="56"/>
      <c r="V65" s="56"/>
      <c r="W65" s="56"/>
      <c r="X65" s="56"/>
      <c r="Y65" s="56"/>
      <c r="Z65" s="56"/>
      <c r="AA65" s="56"/>
      <c r="AB65" s="56"/>
      <c r="AC65" s="56"/>
      <c r="AD65" s="56"/>
      <c r="AE65" s="56"/>
      <c r="AF65" s="56"/>
      <c r="AG65" s="56"/>
      <c r="AH65" s="56"/>
      <c r="AI65" s="56"/>
      <c r="AJ65" s="56"/>
      <c r="AK65" s="56"/>
      <c r="AL65" s="56"/>
      <c r="AM65" s="56"/>
      <c r="AN65" s="56"/>
    </row>
    <row r="66" spans="1:40">
      <c r="A66" s="56"/>
      <c r="B66" s="56"/>
      <c r="C66" s="56"/>
      <c r="D66" s="56"/>
      <c r="E66" s="56"/>
      <c r="F66" s="56"/>
      <c r="G66" s="56"/>
      <c r="H66" s="56"/>
      <c r="I66" s="56"/>
      <c r="J66" s="56"/>
      <c r="K66" s="56"/>
      <c r="L66" s="56"/>
      <c r="M66" s="56"/>
      <c r="N66" s="56"/>
      <c r="O66" s="56"/>
      <c r="P66" s="56"/>
      <c r="Q66" s="56"/>
      <c r="R66" s="56"/>
      <c r="S66" s="56"/>
      <c r="T66" s="56"/>
      <c r="U66" s="56"/>
      <c r="V66" s="56"/>
      <c r="W66" s="56"/>
      <c r="X66" s="56"/>
      <c r="Y66" s="56"/>
      <c r="Z66" s="56"/>
      <c r="AA66" s="56"/>
      <c r="AB66" s="56"/>
      <c r="AC66" s="56"/>
      <c r="AD66" s="56"/>
      <c r="AE66" s="56"/>
      <c r="AF66" s="56"/>
      <c r="AG66" s="56"/>
      <c r="AH66" s="56"/>
      <c r="AI66" s="56"/>
      <c r="AJ66" s="56"/>
      <c r="AK66" s="56"/>
      <c r="AL66" s="56"/>
      <c r="AM66" s="56"/>
      <c r="AN66" s="56"/>
    </row>
    <row r="67" spans="1:40">
      <c r="A67" s="56"/>
      <c r="B67" s="56"/>
      <c r="C67" s="56"/>
      <c r="D67" s="56"/>
      <c r="E67" s="56"/>
      <c r="F67" s="56"/>
      <c r="G67" s="56"/>
      <c r="H67" s="56"/>
      <c r="I67" s="56"/>
      <c r="J67" s="56"/>
      <c r="K67" s="56"/>
      <c r="L67" s="56"/>
      <c r="M67" s="56"/>
      <c r="N67" s="56"/>
      <c r="O67" s="56"/>
      <c r="P67" s="56"/>
      <c r="Q67" s="56"/>
      <c r="R67" s="56"/>
      <c r="S67" s="56"/>
      <c r="T67" s="56"/>
      <c r="U67" s="56"/>
      <c r="V67" s="56"/>
      <c r="W67" s="56"/>
      <c r="X67" s="56"/>
      <c r="Y67" s="56"/>
      <c r="Z67" s="56"/>
      <c r="AA67" s="56"/>
      <c r="AB67" s="56"/>
      <c r="AC67" s="56"/>
      <c r="AD67" s="56"/>
      <c r="AE67" s="56"/>
      <c r="AF67" s="56"/>
      <c r="AG67" s="56"/>
      <c r="AH67" s="56"/>
      <c r="AI67" s="56"/>
      <c r="AJ67" s="56"/>
      <c r="AK67" s="56"/>
      <c r="AL67" s="56"/>
      <c r="AM67" s="56"/>
      <c r="AN67" s="56"/>
    </row>
    <row r="68" spans="1:40">
      <c r="A68" s="56"/>
      <c r="B68" s="56"/>
      <c r="C68" s="56"/>
      <c r="D68" s="56"/>
      <c r="E68" s="56"/>
      <c r="F68" s="56"/>
      <c r="G68" s="56"/>
      <c r="H68" s="56"/>
      <c r="I68" s="56"/>
      <c r="J68" s="56"/>
      <c r="K68" s="56"/>
      <c r="L68" s="56"/>
      <c r="M68" s="56"/>
      <c r="N68" s="56"/>
      <c r="O68" s="56"/>
      <c r="P68" s="56"/>
      <c r="Q68" s="56"/>
      <c r="R68" s="56"/>
      <c r="S68" s="56"/>
      <c r="T68" s="56"/>
      <c r="U68" s="56"/>
      <c r="V68" s="56"/>
      <c r="W68" s="56"/>
      <c r="X68" s="56"/>
      <c r="Y68" s="56"/>
      <c r="Z68" s="56"/>
      <c r="AA68" s="56"/>
      <c r="AB68" s="56"/>
      <c r="AC68" s="56"/>
      <c r="AD68" s="56"/>
      <c r="AE68" s="56"/>
      <c r="AF68" s="56"/>
      <c r="AG68" s="56"/>
      <c r="AH68" s="56"/>
      <c r="AI68" s="56"/>
      <c r="AJ68" s="56"/>
      <c r="AK68" s="56"/>
      <c r="AL68" s="56"/>
      <c r="AM68" s="56"/>
      <c r="AN68" s="56"/>
    </row>
    <row r="69" spans="1:40">
      <c r="A69" s="56"/>
      <c r="B69" s="56"/>
      <c r="C69" s="56"/>
      <c r="D69" s="56"/>
      <c r="E69" s="56"/>
      <c r="F69" s="56"/>
      <c r="G69" s="56"/>
      <c r="H69" s="56"/>
      <c r="I69" s="56"/>
      <c r="J69" s="56"/>
      <c r="K69" s="56"/>
      <c r="L69" s="56"/>
      <c r="M69" s="56"/>
      <c r="N69" s="56"/>
      <c r="O69" s="56"/>
      <c r="P69" s="56"/>
      <c r="Q69" s="56"/>
      <c r="R69" s="56"/>
      <c r="S69" s="56"/>
      <c r="T69" s="56"/>
      <c r="U69" s="56"/>
      <c r="V69" s="56"/>
      <c r="W69" s="56"/>
      <c r="X69" s="56"/>
      <c r="Y69" s="56"/>
      <c r="Z69" s="56"/>
      <c r="AA69" s="56"/>
      <c r="AB69" s="56"/>
      <c r="AC69" s="56"/>
      <c r="AD69" s="56"/>
      <c r="AE69" s="56"/>
      <c r="AF69" s="56"/>
      <c r="AG69" s="56"/>
      <c r="AH69" s="56"/>
      <c r="AI69" s="56"/>
      <c r="AJ69" s="56"/>
      <c r="AK69" s="56"/>
      <c r="AL69" s="56"/>
      <c r="AM69" s="56"/>
      <c r="AN69" s="56"/>
    </row>
    <row r="70" spans="1:40">
      <c r="A70" s="56"/>
      <c r="B70" s="56"/>
      <c r="C70" s="56"/>
      <c r="D70" s="56"/>
      <c r="E70" s="56"/>
      <c r="F70" s="56"/>
      <c r="G70" s="56"/>
      <c r="H70" s="56"/>
      <c r="I70" s="56"/>
      <c r="J70" s="56"/>
      <c r="K70" s="56"/>
      <c r="L70" s="56"/>
      <c r="M70" s="56"/>
      <c r="N70" s="56"/>
      <c r="O70" s="56"/>
      <c r="P70" s="56"/>
      <c r="Q70" s="56"/>
      <c r="R70" s="56"/>
      <c r="S70" s="56"/>
      <c r="T70" s="56"/>
      <c r="U70" s="56"/>
      <c r="V70" s="56"/>
      <c r="W70" s="56"/>
      <c r="X70" s="56"/>
      <c r="Y70" s="56"/>
      <c r="Z70" s="56"/>
      <c r="AA70" s="56"/>
      <c r="AB70" s="56"/>
      <c r="AC70" s="56"/>
      <c r="AD70" s="56"/>
      <c r="AE70" s="56"/>
      <c r="AF70" s="56"/>
      <c r="AG70" s="56"/>
      <c r="AH70" s="56"/>
      <c r="AI70" s="56"/>
      <c r="AJ70" s="56"/>
      <c r="AK70" s="56"/>
      <c r="AL70" s="56"/>
      <c r="AM70" s="56"/>
      <c r="AN70" s="56"/>
    </row>
    <row r="71" spans="1:40">
      <c r="A71" s="56"/>
      <c r="B71" s="56"/>
      <c r="C71" s="56"/>
      <c r="D71" s="56"/>
      <c r="E71" s="56"/>
      <c r="F71" s="56"/>
      <c r="G71" s="56"/>
      <c r="H71" s="56"/>
      <c r="I71" s="56"/>
      <c r="J71" s="56"/>
      <c r="K71" s="56"/>
      <c r="L71" s="56"/>
      <c r="M71" s="56"/>
      <c r="N71" s="56"/>
      <c r="O71" s="56"/>
      <c r="P71" s="56"/>
      <c r="Q71" s="56"/>
      <c r="R71" s="56"/>
      <c r="S71" s="56"/>
      <c r="T71" s="56"/>
      <c r="U71" s="56"/>
      <c r="V71" s="56"/>
      <c r="W71" s="56"/>
      <c r="X71" s="56"/>
      <c r="Y71" s="56"/>
      <c r="Z71" s="56"/>
      <c r="AA71" s="56"/>
      <c r="AB71" s="56"/>
      <c r="AC71" s="56"/>
      <c r="AD71" s="56"/>
      <c r="AE71" s="56"/>
      <c r="AF71" s="56"/>
      <c r="AG71" s="56"/>
      <c r="AH71" s="56"/>
      <c r="AI71" s="56"/>
      <c r="AJ71" s="56"/>
      <c r="AK71" s="56"/>
      <c r="AL71" s="56"/>
      <c r="AM71" s="56"/>
      <c r="AN71" s="56"/>
    </row>
    <row r="72" spans="1:40">
      <c r="A72" s="56"/>
      <c r="B72" s="56"/>
      <c r="C72" s="56"/>
      <c r="D72" s="56"/>
      <c r="E72" s="56"/>
      <c r="F72" s="56"/>
      <c r="G72" s="56"/>
      <c r="H72" s="56"/>
      <c r="I72" s="56"/>
      <c r="J72" s="56"/>
      <c r="K72" s="56"/>
      <c r="L72" s="56"/>
      <c r="M72" s="56"/>
      <c r="N72" s="56"/>
      <c r="O72" s="56"/>
      <c r="P72" s="56"/>
      <c r="Q72" s="56"/>
      <c r="R72" s="56"/>
      <c r="S72" s="56"/>
      <c r="T72" s="56"/>
      <c r="U72" s="56"/>
      <c r="V72" s="56"/>
      <c r="W72" s="56"/>
      <c r="X72" s="56"/>
      <c r="Y72" s="56"/>
      <c r="Z72" s="56"/>
      <c r="AA72" s="56"/>
      <c r="AB72" s="56"/>
      <c r="AC72" s="56"/>
      <c r="AD72" s="56"/>
      <c r="AE72" s="56"/>
      <c r="AF72" s="56"/>
      <c r="AG72" s="56"/>
      <c r="AH72" s="56"/>
      <c r="AI72" s="56"/>
      <c r="AJ72" s="56"/>
      <c r="AK72" s="56"/>
      <c r="AL72" s="56"/>
      <c r="AM72" s="56"/>
      <c r="AN72" s="56"/>
    </row>
    <row r="73" spans="1:40">
      <c r="A73" s="56"/>
      <c r="B73" s="56"/>
      <c r="C73" s="56"/>
      <c r="D73" s="56"/>
      <c r="E73" s="56"/>
      <c r="F73" s="56"/>
      <c r="G73" s="56"/>
      <c r="H73" s="56"/>
      <c r="I73" s="56"/>
      <c r="J73" s="56"/>
      <c r="K73" s="56"/>
      <c r="L73" s="56"/>
      <c r="M73" s="56"/>
      <c r="N73" s="56"/>
      <c r="O73" s="56"/>
      <c r="P73" s="56"/>
      <c r="Q73" s="56"/>
      <c r="R73" s="56"/>
      <c r="S73" s="56"/>
      <c r="T73" s="56"/>
      <c r="U73" s="56"/>
      <c r="V73" s="56"/>
      <c r="W73" s="56"/>
      <c r="X73" s="56"/>
      <c r="Y73" s="56"/>
      <c r="Z73" s="56"/>
      <c r="AA73" s="56"/>
      <c r="AB73" s="56"/>
      <c r="AC73" s="56"/>
      <c r="AD73" s="56"/>
      <c r="AE73" s="56"/>
      <c r="AF73" s="56"/>
      <c r="AG73" s="56"/>
      <c r="AH73" s="56"/>
      <c r="AI73" s="56"/>
      <c r="AJ73" s="56"/>
      <c r="AK73" s="56"/>
      <c r="AL73" s="56"/>
      <c r="AM73" s="56"/>
      <c r="AN73" s="56"/>
    </row>
    <row r="74" spans="1:40">
      <c r="A74" s="56"/>
      <c r="B74" s="56"/>
      <c r="C74" s="56"/>
      <c r="D74" s="56"/>
      <c r="E74" s="56"/>
      <c r="F74" s="56"/>
      <c r="G74" s="56"/>
      <c r="H74" s="56"/>
      <c r="I74" s="56"/>
      <c r="J74" s="56"/>
      <c r="K74" s="56"/>
      <c r="L74" s="56"/>
      <c r="M74" s="56"/>
      <c r="N74" s="56"/>
      <c r="O74" s="56"/>
      <c r="P74" s="56"/>
      <c r="Q74" s="56"/>
      <c r="R74" s="56"/>
      <c r="S74" s="56"/>
      <c r="T74" s="56"/>
      <c r="U74" s="56"/>
      <c r="V74" s="56"/>
      <c r="W74" s="56"/>
      <c r="X74" s="56"/>
      <c r="Y74" s="56"/>
      <c r="Z74" s="56"/>
      <c r="AA74" s="56"/>
      <c r="AB74" s="56"/>
      <c r="AC74" s="56"/>
      <c r="AD74" s="56"/>
      <c r="AE74" s="56"/>
      <c r="AF74" s="56"/>
      <c r="AG74" s="56"/>
      <c r="AH74" s="56"/>
      <c r="AI74" s="56"/>
      <c r="AJ74" s="56"/>
      <c r="AK74" s="56"/>
      <c r="AL74" s="56"/>
      <c r="AM74" s="56"/>
      <c r="AN74" s="56"/>
    </row>
    <row r="75" spans="1:40">
      <c r="A75" s="56"/>
      <c r="B75" s="56"/>
      <c r="C75" s="56"/>
      <c r="D75" s="56"/>
      <c r="E75" s="56"/>
      <c r="F75" s="56"/>
      <c r="G75" s="56"/>
      <c r="H75" s="56"/>
      <c r="I75" s="56"/>
      <c r="J75" s="56"/>
      <c r="K75" s="56"/>
      <c r="L75" s="56"/>
      <c r="M75" s="56"/>
      <c r="N75" s="56"/>
      <c r="O75" s="56"/>
      <c r="P75" s="56"/>
      <c r="Q75" s="56"/>
      <c r="R75" s="56"/>
      <c r="S75" s="56"/>
      <c r="T75" s="56"/>
      <c r="U75" s="56"/>
      <c r="V75" s="56"/>
      <c r="W75" s="56"/>
      <c r="X75" s="56"/>
      <c r="Y75" s="56"/>
      <c r="Z75" s="56"/>
      <c r="AA75" s="56"/>
      <c r="AB75" s="56"/>
      <c r="AC75" s="56"/>
      <c r="AD75" s="56"/>
      <c r="AE75" s="56"/>
      <c r="AF75" s="56"/>
      <c r="AG75" s="56"/>
      <c r="AH75" s="56"/>
      <c r="AI75" s="56"/>
      <c r="AJ75" s="56"/>
      <c r="AK75" s="56"/>
      <c r="AL75" s="56"/>
      <c r="AM75" s="56"/>
      <c r="AN75" s="56"/>
    </row>
    <row r="76" spans="1:40">
      <c r="A76" s="56"/>
      <c r="B76" s="56"/>
      <c r="C76" s="56"/>
      <c r="D76" s="56"/>
      <c r="E76" s="56"/>
      <c r="F76" s="56"/>
      <c r="G76" s="56"/>
      <c r="H76" s="56"/>
      <c r="I76" s="56"/>
      <c r="J76" s="56"/>
      <c r="K76" s="56"/>
      <c r="L76" s="56"/>
      <c r="M76" s="56"/>
      <c r="N76" s="56"/>
      <c r="O76" s="56"/>
      <c r="P76" s="56"/>
      <c r="Q76" s="56"/>
      <c r="R76" s="56"/>
      <c r="S76" s="56"/>
      <c r="T76" s="56"/>
      <c r="U76" s="56"/>
      <c r="V76" s="56"/>
      <c r="W76" s="56"/>
      <c r="X76" s="56"/>
      <c r="Y76" s="56"/>
      <c r="Z76" s="56"/>
      <c r="AA76" s="56"/>
      <c r="AB76" s="56"/>
      <c r="AC76" s="56"/>
      <c r="AD76" s="56"/>
      <c r="AE76" s="56"/>
      <c r="AF76" s="56"/>
      <c r="AG76" s="56"/>
      <c r="AH76" s="56"/>
      <c r="AI76" s="56"/>
      <c r="AJ76" s="56"/>
      <c r="AK76" s="56"/>
      <c r="AL76" s="56"/>
      <c r="AM76" s="56"/>
      <c r="AN76" s="56"/>
    </row>
    <row r="77" spans="1:40">
      <c r="A77" s="56"/>
      <c r="B77" s="56"/>
      <c r="C77" s="56"/>
      <c r="D77" s="56"/>
      <c r="E77" s="56"/>
      <c r="F77" s="56"/>
      <c r="G77" s="56"/>
      <c r="H77" s="56"/>
      <c r="I77" s="56"/>
      <c r="J77" s="56"/>
      <c r="K77" s="56"/>
      <c r="L77" s="56"/>
      <c r="M77" s="56"/>
      <c r="N77" s="56"/>
      <c r="O77" s="56"/>
      <c r="P77" s="56"/>
      <c r="Q77" s="56"/>
      <c r="R77" s="56"/>
      <c r="S77" s="56"/>
      <c r="T77" s="56"/>
      <c r="U77" s="56"/>
      <c r="V77" s="56"/>
      <c r="W77" s="56"/>
      <c r="X77" s="56"/>
      <c r="Y77" s="56"/>
      <c r="Z77" s="56"/>
      <c r="AA77" s="56"/>
      <c r="AB77" s="56"/>
      <c r="AC77" s="56"/>
      <c r="AD77" s="56"/>
      <c r="AE77" s="56"/>
      <c r="AF77" s="56"/>
      <c r="AG77" s="56"/>
      <c r="AH77" s="56"/>
      <c r="AI77" s="56"/>
      <c r="AJ77" s="56"/>
      <c r="AK77" s="56"/>
      <c r="AL77" s="56"/>
      <c r="AM77" s="56"/>
      <c r="AN77" s="56"/>
    </row>
    <row r="78" spans="1:40">
      <c r="A78" s="56"/>
      <c r="B78" s="56"/>
      <c r="C78" s="56"/>
      <c r="D78" s="56"/>
      <c r="E78" s="56"/>
      <c r="F78" s="56"/>
      <c r="G78" s="56"/>
      <c r="H78" s="56"/>
      <c r="I78" s="56"/>
      <c r="J78" s="56"/>
      <c r="K78" s="56"/>
      <c r="L78" s="56"/>
      <c r="M78" s="56"/>
      <c r="N78" s="56"/>
      <c r="O78" s="56"/>
      <c r="P78" s="56"/>
      <c r="Q78" s="56"/>
      <c r="R78" s="56"/>
      <c r="S78" s="56"/>
      <c r="T78" s="56"/>
      <c r="U78" s="56"/>
      <c r="V78" s="56"/>
      <c r="W78" s="56"/>
      <c r="X78" s="56"/>
      <c r="Y78" s="56"/>
      <c r="Z78" s="56"/>
      <c r="AA78" s="56"/>
      <c r="AB78" s="56"/>
      <c r="AC78" s="56"/>
      <c r="AD78" s="56"/>
      <c r="AE78" s="56"/>
      <c r="AF78" s="56"/>
      <c r="AG78" s="56"/>
      <c r="AH78" s="56"/>
      <c r="AI78" s="56"/>
      <c r="AJ78" s="56"/>
      <c r="AK78" s="56"/>
      <c r="AL78" s="56"/>
      <c r="AM78" s="56"/>
      <c r="AN78" s="56"/>
    </row>
    <row r="79" spans="1:40">
      <c r="A79" s="56"/>
      <c r="B79" s="56"/>
      <c r="C79" s="56"/>
      <c r="D79" s="56"/>
      <c r="E79" s="56"/>
      <c r="F79" s="56"/>
      <c r="G79" s="56"/>
      <c r="H79" s="56"/>
      <c r="I79" s="56"/>
      <c r="J79" s="56"/>
      <c r="K79" s="56"/>
      <c r="L79" s="56"/>
      <c r="M79" s="56"/>
      <c r="N79" s="56"/>
      <c r="O79" s="56"/>
      <c r="P79" s="56"/>
      <c r="Q79" s="56"/>
      <c r="R79" s="56"/>
      <c r="S79" s="56"/>
      <c r="T79" s="56"/>
      <c r="U79" s="56"/>
      <c r="V79" s="56"/>
      <c r="W79" s="56"/>
      <c r="X79" s="56"/>
      <c r="Y79" s="56"/>
      <c r="Z79" s="56"/>
      <c r="AA79" s="56"/>
      <c r="AB79" s="56"/>
      <c r="AC79" s="56"/>
      <c r="AD79" s="56"/>
      <c r="AE79" s="56"/>
      <c r="AF79" s="56"/>
      <c r="AG79" s="56"/>
      <c r="AH79" s="56"/>
      <c r="AI79" s="56"/>
      <c r="AJ79" s="56"/>
      <c r="AK79" s="56"/>
      <c r="AL79" s="56"/>
      <c r="AM79" s="56"/>
      <c r="AN79" s="56"/>
    </row>
    <row r="80" spans="1:40">
      <c r="A80" s="56"/>
      <c r="B80" s="56"/>
      <c r="C80" s="56"/>
      <c r="D80" s="56"/>
      <c r="E80" s="56"/>
      <c r="F80" s="56"/>
      <c r="G80" s="56"/>
      <c r="H80" s="56"/>
      <c r="I80" s="56"/>
      <c r="J80" s="56"/>
      <c r="K80" s="56"/>
      <c r="L80" s="56"/>
      <c r="M80" s="56"/>
      <c r="N80" s="56"/>
      <c r="O80" s="56"/>
      <c r="P80" s="56"/>
      <c r="Q80" s="56"/>
      <c r="R80" s="56"/>
      <c r="S80" s="56"/>
      <c r="T80" s="56"/>
      <c r="U80" s="56"/>
      <c r="V80" s="56"/>
      <c r="W80" s="56"/>
      <c r="X80" s="56"/>
      <c r="Y80" s="56"/>
      <c r="Z80" s="56"/>
      <c r="AA80" s="56"/>
      <c r="AB80" s="56"/>
      <c r="AC80" s="56"/>
      <c r="AD80" s="56"/>
      <c r="AE80" s="56"/>
      <c r="AF80" s="56"/>
      <c r="AG80" s="56"/>
      <c r="AH80" s="56"/>
      <c r="AI80" s="56"/>
      <c r="AJ80" s="56"/>
      <c r="AK80" s="56"/>
      <c r="AL80" s="56"/>
      <c r="AM80" s="56"/>
      <c r="AN80" s="56"/>
    </row>
    <row r="81" spans="1:40">
      <c r="A81" s="56"/>
      <c r="B81" s="56"/>
      <c r="C81" s="56"/>
      <c r="D81" s="56"/>
      <c r="E81" s="56"/>
      <c r="F81" s="56"/>
      <c r="G81" s="56"/>
      <c r="H81" s="56"/>
      <c r="I81" s="56"/>
      <c r="J81" s="56"/>
      <c r="K81" s="56"/>
      <c r="L81" s="56"/>
      <c r="M81" s="56"/>
      <c r="N81" s="56"/>
      <c r="O81" s="56"/>
      <c r="P81" s="56"/>
      <c r="Q81" s="56"/>
      <c r="R81" s="56"/>
      <c r="S81" s="56"/>
      <c r="T81" s="56"/>
      <c r="U81" s="56"/>
      <c r="V81" s="56"/>
      <c r="W81" s="56"/>
      <c r="X81" s="56"/>
      <c r="Y81" s="56"/>
      <c r="Z81" s="56"/>
      <c r="AA81" s="56"/>
      <c r="AB81" s="56"/>
      <c r="AC81" s="56"/>
      <c r="AD81" s="56"/>
      <c r="AE81" s="56"/>
      <c r="AF81" s="56"/>
      <c r="AG81" s="56"/>
      <c r="AH81" s="56"/>
      <c r="AI81" s="56"/>
      <c r="AJ81" s="56"/>
      <c r="AK81" s="56"/>
      <c r="AL81" s="56"/>
      <c r="AM81" s="56"/>
      <c r="AN81" s="56"/>
    </row>
    <row r="82" spans="1:40">
      <c r="A82" s="56"/>
      <c r="B82" s="56"/>
      <c r="C82" s="56"/>
      <c r="D82" s="56"/>
      <c r="E82" s="56"/>
      <c r="F82" s="56"/>
      <c r="G82" s="56"/>
      <c r="H82" s="56"/>
      <c r="I82" s="56"/>
      <c r="J82" s="56"/>
      <c r="K82" s="56"/>
      <c r="L82" s="56"/>
      <c r="M82" s="56"/>
      <c r="N82" s="56"/>
      <c r="O82" s="56"/>
      <c r="P82" s="56"/>
      <c r="Q82" s="56"/>
      <c r="R82" s="56"/>
      <c r="S82" s="56"/>
      <c r="T82" s="56"/>
      <c r="U82" s="56"/>
      <c r="V82" s="56"/>
      <c r="W82" s="56"/>
      <c r="X82" s="56"/>
      <c r="Y82" s="56"/>
      <c r="Z82" s="56"/>
      <c r="AA82" s="56"/>
      <c r="AB82" s="56"/>
      <c r="AC82" s="56"/>
      <c r="AD82" s="56"/>
      <c r="AE82" s="56"/>
      <c r="AF82" s="56"/>
      <c r="AG82" s="56"/>
      <c r="AH82" s="56"/>
      <c r="AI82" s="56"/>
      <c r="AJ82" s="56"/>
      <c r="AK82" s="56"/>
      <c r="AL82" s="56"/>
      <c r="AM82" s="56"/>
      <c r="AN82" s="56"/>
    </row>
    <row r="83" spans="1:40">
      <c r="A83" s="56"/>
      <c r="B83" s="56"/>
      <c r="C83" s="56"/>
      <c r="D83" s="56"/>
      <c r="E83" s="56"/>
      <c r="F83" s="56"/>
      <c r="G83" s="56"/>
      <c r="H83" s="56"/>
      <c r="I83" s="56"/>
      <c r="J83" s="56"/>
      <c r="K83" s="56"/>
      <c r="L83" s="56"/>
      <c r="M83" s="56"/>
      <c r="N83" s="56"/>
      <c r="O83" s="56"/>
      <c r="P83" s="56"/>
      <c r="Q83" s="56"/>
      <c r="R83" s="56"/>
      <c r="S83" s="56"/>
      <c r="T83" s="56"/>
      <c r="U83" s="56"/>
      <c r="V83" s="56"/>
      <c r="W83" s="56"/>
      <c r="X83" s="56"/>
      <c r="Y83" s="56"/>
      <c r="Z83" s="56"/>
      <c r="AA83" s="56"/>
      <c r="AB83" s="56"/>
      <c r="AC83" s="56"/>
      <c r="AD83" s="56"/>
      <c r="AE83" s="56"/>
      <c r="AF83" s="56"/>
      <c r="AG83" s="56"/>
      <c r="AH83" s="56"/>
      <c r="AI83" s="56"/>
      <c r="AJ83" s="56"/>
      <c r="AK83" s="56"/>
      <c r="AL83" s="56"/>
      <c r="AM83" s="56"/>
      <c r="AN83" s="56"/>
    </row>
    <row r="84" spans="1:40">
      <c r="A84" s="56"/>
      <c r="B84" s="56"/>
      <c r="C84" s="56"/>
      <c r="D84" s="56"/>
      <c r="E84" s="56"/>
      <c r="F84" s="56"/>
      <c r="G84" s="56"/>
      <c r="H84" s="56"/>
      <c r="I84" s="56"/>
      <c r="J84" s="56"/>
      <c r="K84" s="56"/>
      <c r="L84" s="56"/>
      <c r="M84" s="56"/>
      <c r="N84" s="56"/>
      <c r="O84" s="56"/>
      <c r="P84" s="56"/>
      <c r="Q84" s="56"/>
      <c r="R84" s="56"/>
      <c r="S84" s="56"/>
      <c r="T84" s="56"/>
      <c r="U84" s="56"/>
      <c r="V84" s="56"/>
      <c r="W84" s="56"/>
      <c r="X84" s="56"/>
      <c r="Y84" s="56"/>
      <c r="Z84" s="56"/>
      <c r="AA84" s="56"/>
      <c r="AB84" s="56"/>
      <c r="AC84" s="56"/>
      <c r="AD84" s="56"/>
      <c r="AE84" s="56"/>
      <c r="AF84" s="56"/>
      <c r="AG84" s="56"/>
      <c r="AH84" s="56"/>
      <c r="AI84" s="56"/>
      <c r="AJ84" s="56"/>
      <c r="AK84" s="56"/>
      <c r="AL84" s="56"/>
      <c r="AM84" s="56"/>
      <c r="AN84" s="56"/>
    </row>
    <row r="85" spans="1:40">
      <c r="A85" s="56"/>
      <c r="B85" s="56"/>
      <c r="C85" s="56"/>
      <c r="D85" s="56"/>
      <c r="E85" s="56"/>
      <c r="F85" s="56"/>
      <c r="G85" s="56"/>
      <c r="H85" s="56"/>
      <c r="I85" s="56"/>
      <c r="J85" s="56"/>
      <c r="K85" s="56"/>
      <c r="L85" s="56"/>
      <c r="M85" s="56"/>
      <c r="N85" s="56"/>
      <c r="O85" s="56"/>
      <c r="P85" s="56"/>
      <c r="Q85" s="56"/>
      <c r="R85" s="56"/>
      <c r="S85" s="56"/>
      <c r="T85" s="56"/>
      <c r="U85" s="56"/>
      <c r="V85" s="56"/>
      <c r="W85" s="56"/>
      <c r="X85" s="56"/>
      <c r="Y85" s="56"/>
      <c r="Z85" s="56"/>
      <c r="AA85" s="56"/>
      <c r="AB85" s="56"/>
      <c r="AC85" s="56"/>
      <c r="AD85" s="56"/>
      <c r="AE85" s="56"/>
      <c r="AF85" s="56"/>
      <c r="AG85" s="56"/>
      <c r="AH85" s="56"/>
      <c r="AI85" s="56"/>
      <c r="AJ85" s="56"/>
      <c r="AK85" s="56"/>
      <c r="AL85" s="56"/>
      <c r="AM85" s="56"/>
      <c r="AN85" s="56"/>
    </row>
    <row r="86" spans="1:40">
      <c r="A86" s="56"/>
      <c r="B86" s="56"/>
      <c r="C86" s="56"/>
      <c r="D86" s="56"/>
      <c r="E86" s="56"/>
      <c r="F86" s="56"/>
      <c r="G86" s="56"/>
      <c r="H86" s="56"/>
      <c r="I86" s="56"/>
      <c r="J86" s="56"/>
      <c r="K86" s="56"/>
      <c r="L86" s="56"/>
      <c r="M86" s="56"/>
      <c r="N86" s="56"/>
      <c r="O86" s="56"/>
      <c r="P86" s="56"/>
      <c r="Q86" s="56"/>
      <c r="R86" s="56"/>
      <c r="S86" s="56"/>
      <c r="T86" s="56"/>
      <c r="U86" s="56"/>
      <c r="V86" s="56"/>
      <c r="W86" s="56"/>
      <c r="X86" s="56"/>
      <c r="Y86" s="56"/>
      <c r="Z86" s="56"/>
      <c r="AA86" s="56"/>
      <c r="AB86" s="56"/>
      <c r="AC86" s="56"/>
      <c r="AD86" s="56"/>
      <c r="AE86" s="56"/>
      <c r="AF86" s="56"/>
      <c r="AG86" s="56"/>
      <c r="AH86" s="56"/>
      <c r="AI86" s="56"/>
      <c r="AJ86" s="56"/>
      <c r="AK86" s="56"/>
      <c r="AL86" s="56"/>
      <c r="AM86" s="56"/>
      <c r="AN86" s="56"/>
    </row>
    <row r="87" spans="1:40">
      <c r="A87" s="56"/>
      <c r="B87" s="56"/>
      <c r="C87" s="56"/>
      <c r="D87" s="56"/>
      <c r="E87" s="56"/>
      <c r="F87" s="56"/>
      <c r="G87" s="56"/>
      <c r="H87" s="56"/>
      <c r="I87" s="56"/>
      <c r="J87" s="56"/>
      <c r="K87" s="56"/>
      <c r="L87" s="56"/>
      <c r="M87" s="56"/>
      <c r="N87" s="56"/>
      <c r="O87" s="56"/>
      <c r="P87" s="56"/>
      <c r="Q87" s="56"/>
      <c r="R87" s="56"/>
      <c r="S87" s="56"/>
      <c r="T87" s="56"/>
      <c r="U87" s="56"/>
      <c r="V87" s="56"/>
      <c r="W87" s="56"/>
      <c r="X87" s="56"/>
      <c r="Y87" s="56"/>
      <c r="Z87" s="56"/>
      <c r="AA87" s="56"/>
      <c r="AB87" s="56"/>
      <c r="AC87" s="56"/>
      <c r="AD87" s="56"/>
      <c r="AE87" s="56"/>
      <c r="AF87" s="56"/>
      <c r="AG87" s="56"/>
      <c r="AH87" s="56"/>
      <c r="AI87" s="56"/>
      <c r="AJ87" s="56"/>
      <c r="AK87" s="56"/>
      <c r="AL87" s="56"/>
      <c r="AM87" s="56"/>
      <c r="AN87" s="56"/>
    </row>
    <row r="88" spans="1:40">
      <c r="A88" s="56"/>
      <c r="B88" s="56"/>
      <c r="C88" s="56"/>
      <c r="D88" s="56"/>
      <c r="E88" s="56"/>
      <c r="F88" s="56"/>
      <c r="G88" s="56"/>
      <c r="H88" s="56"/>
      <c r="I88" s="56"/>
      <c r="J88" s="56"/>
      <c r="K88" s="56"/>
      <c r="L88" s="56"/>
      <c r="M88" s="56"/>
      <c r="N88" s="56"/>
      <c r="O88" s="56"/>
      <c r="P88" s="56"/>
      <c r="Q88" s="56"/>
      <c r="R88" s="56"/>
      <c r="S88" s="56"/>
      <c r="T88" s="56"/>
      <c r="U88" s="56"/>
      <c r="V88" s="56"/>
      <c r="W88" s="56"/>
      <c r="X88" s="56"/>
      <c r="Y88" s="56"/>
      <c r="Z88" s="56"/>
      <c r="AA88" s="56"/>
      <c r="AB88" s="56"/>
      <c r="AC88" s="56"/>
      <c r="AD88" s="56"/>
      <c r="AE88" s="56"/>
      <c r="AF88" s="56"/>
      <c r="AG88" s="56"/>
      <c r="AH88" s="56"/>
      <c r="AI88" s="56"/>
      <c r="AJ88" s="56"/>
      <c r="AK88" s="56"/>
      <c r="AL88" s="56"/>
      <c r="AM88" s="56"/>
      <c r="AN88" s="56"/>
    </row>
    <row r="89" spans="1:40">
      <c r="A89" s="56"/>
      <c r="B89" s="56"/>
      <c r="C89" s="56"/>
      <c r="D89" s="56"/>
      <c r="E89" s="56"/>
      <c r="F89" s="56"/>
      <c r="G89" s="56"/>
      <c r="H89" s="56"/>
      <c r="I89" s="56"/>
      <c r="J89" s="56"/>
      <c r="K89" s="56"/>
      <c r="L89" s="56"/>
      <c r="M89" s="56"/>
      <c r="N89" s="56"/>
      <c r="O89" s="56"/>
      <c r="P89" s="56"/>
      <c r="Q89" s="56"/>
      <c r="R89" s="56"/>
      <c r="S89" s="56"/>
      <c r="T89" s="56"/>
      <c r="U89" s="56"/>
      <c r="V89" s="56"/>
      <c r="W89" s="56"/>
      <c r="X89" s="56"/>
      <c r="Y89" s="56"/>
      <c r="Z89" s="56"/>
      <c r="AA89" s="56"/>
      <c r="AB89" s="56"/>
      <c r="AC89" s="56"/>
      <c r="AD89" s="56"/>
      <c r="AE89" s="56"/>
      <c r="AF89" s="56"/>
      <c r="AG89" s="56"/>
      <c r="AH89" s="56"/>
      <c r="AI89" s="56"/>
      <c r="AJ89" s="56"/>
      <c r="AK89" s="56"/>
      <c r="AL89" s="56"/>
      <c r="AM89" s="56"/>
      <c r="AN89" s="56"/>
    </row>
    <row r="90" spans="1:40">
      <c r="A90" s="56"/>
      <c r="B90" s="56"/>
      <c r="C90" s="56"/>
      <c r="D90" s="56"/>
      <c r="E90" s="56"/>
      <c r="F90" s="56"/>
      <c r="G90" s="56"/>
      <c r="H90" s="56"/>
      <c r="I90" s="56"/>
      <c r="J90" s="56"/>
      <c r="K90" s="56"/>
      <c r="L90" s="56"/>
      <c r="M90" s="56"/>
      <c r="N90" s="56"/>
      <c r="O90" s="56"/>
      <c r="P90" s="56"/>
      <c r="Q90" s="56"/>
      <c r="R90" s="56"/>
      <c r="S90" s="56"/>
      <c r="T90" s="56"/>
      <c r="U90" s="56"/>
      <c r="V90" s="56"/>
      <c r="W90" s="56"/>
      <c r="X90" s="56"/>
      <c r="Y90" s="56"/>
      <c r="Z90" s="56"/>
      <c r="AA90" s="56"/>
      <c r="AB90" s="56"/>
      <c r="AC90" s="56"/>
      <c r="AD90" s="56"/>
      <c r="AE90" s="56"/>
      <c r="AF90" s="56"/>
      <c r="AG90" s="56"/>
      <c r="AH90" s="56"/>
      <c r="AI90" s="56"/>
      <c r="AJ90" s="56"/>
      <c r="AK90" s="56"/>
      <c r="AL90" s="56"/>
      <c r="AM90" s="56"/>
      <c r="AN90" s="56"/>
    </row>
    <row r="91" spans="1:40">
      <c r="A91" s="56"/>
      <c r="B91" s="56"/>
      <c r="C91" s="56"/>
      <c r="D91" s="56"/>
      <c r="E91" s="56"/>
      <c r="F91" s="56"/>
      <c r="G91" s="56"/>
      <c r="H91" s="56"/>
      <c r="I91" s="56"/>
      <c r="J91" s="56"/>
      <c r="K91" s="56"/>
      <c r="L91" s="56"/>
      <c r="M91" s="56"/>
      <c r="N91" s="56"/>
      <c r="O91" s="56"/>
      <c r="P91" s="56"/>
      <c r="Q91" s="56"/>
      <c r="R91" s="56"/>
      <c r="S91" s="56"/>
      <c r="T91" s="56"/>
      <c r="U91" s="56"/>
      <c r="V91" s="56"/>
      <c r="W91" s="56"/>
      <c r="X91" s="56"/>
      <c r="Y91" s="56"/>
      <c r="Z91" s="56"/>
      <c r="AA91" s="56"/>
      <c r="AB91" s="56"/>
      <c r="AC91" s="56"/>
      <c r="AD91" s="56"/>
      <c r="AE91" s="56"/>
      <c r="AF91" s="56"/>
      <c r="AG91" s="56"/>
      <c r="AH91" s="56"/>
      <c r="AI91" s="56"/>
      <c r="AJ91" s="56"/>
      <c r="AK91" s="56"/>
      <c r="AL91" s="56"/>
      <c r="AM91" s="56"/>
      <c r="AN91" s="56"/>
    </row>
    <row r="92" spans="1:40">
      <c r="A92" s="56"/>
      <c r="B92" s="56"/>
      <c r="C92" s="56"/>
      <c r="D92" s="56"/>
      <c r="E92" s="56"/>
      <c r="F92" s="56"/>
      <c r="G92" s="56"/>
      <c r="H92" s="56"/>
      <c r="I92" s="56"/>
      <c r="J92" s="56"/>
      <c r="K92" s="56"/>
      <c r="L92" s="56"/>
      <c r="M92" s="56"/>
      <c r="N92" s="56"/>
      <c r="O92" s="56"/>
      <c r="P92" s="56"/>
      <c r="Q92" s="56"/>
      <c r="R92" s="56"/>
      <c r="S92" s="56"/>
      <c r="T92" s="56"/>
      <c r="U92" s="56"/>
      <c r="V92" s="56"/>
      <c r="W92" s="56"/>
      <c r="X92" s="56"/>
      <c r="Y92" s="56"/>
      <c r="Z92" s="56"/>
      <c r="AA92" s="56"/>
      <c r="AB92" s="56"/>
      <c r="AC92" s="56"/>
      <c r="AD92" s="56"/>
      <c r="AE92" s="56"/>
      <c r="AF92" s="56"/>
      <c r="AG92" s="56"/>
      <c r="AH92" s="56"/>
      <c r="AI92" s="56"/>
      <c r="AJ92" s="56"/>
      <c r="AK92" s="56"/>
      <c r="AL92" s="56"/>
      <c r="AM92" s="56"/>
      <c r="AN92" s="56"/>
    </row>
    <row r="93" spans="1:40">
      <c r="A93" s="56"/>
      <c r="B93" s="56"/>
      <c r="C93" s="56"/>
      <c r="D93" s="56"/>
      <c r="E93" s="56"/>
      <c r="F93" s="56"/>
      <c r="G93" s="56"/>
      <c r="H93" s="56"/>
      <c r="I93" s="56"/>
      <c r="J93" s="56"/>
      <c r="K93" s="56"/>
      <c r="L93" s="56"/>
      <c r="M93" s="56"/>
      <c r="N93" s="56"/>
      <c r="O93" s="56"/>
      <c r="P93" s="56"/>
      <c r="Q93" s="56"/>
      <c r="R93" s="56"/>
      <c r="S93" s="56"/>
      <c r="T93" s="56"/>
      <c r="U93" s="56"/>
      <c r="V93" s="56"/>
      <c r="W93" s="56"/>
      <c r="X93" s="56"/>
      <c r="Y93" s="56"/>
      <c r="Z93" s="56"/>
      <c r="AA93" s="56"/>
      <c r="AB93" s="56"/>
      <c r="AC93" s="56"/>
      <c r="AD93" s="56"/>
      <c r="AE93" s="56"/>
      <c r="AF93" s="56"/>
      <c r="AG93" s="56"/>
      <c r="AH93" s="56"/>
      <c r="AI93" s="56"/>
      <c r="AJ93" s="56"/>
      <c r="AK93" s="56"/>
      <c r="AL93" s="56"/>
      <c r="AM93" s="56"/>
      <c r="AN93" s="56"/>
    </row>
    <row r="94" spans="1:40">
      <c r="A94" s="56"/>
      <c r="B94" s="56"/>
      <c r="C94" s="56"/>
      <c r="D94" s="56"/>
      <c r="E94" s="56"/>
      <c r="F94" s="56"/>
      <c r="G94" s="56"/>
      <c r="H94" s="56"/>
      <c r="I94" s="56"/>
      <c r="J94" s="56"/>
      <c r="K94" s="56"/>
      <c r="L94" s="56"/>
      <c r="M94" s="56"/>
      <c r="N94" s="56"/>
      <c r="O94" s="56"/>
      <c r="P94" s="56"/>
      <c r="Q94" s="56"/>
      <c r="R94" s="56"/>
      <c r="S94" s="56"/>
      <c r="T94" s="56"/>
      <c r="U94" s="56"/>
      <c r="V94" s="56"/>
      <c r="W94" s="56"/>
      <c r="X94" s="56"/>
      <c r="Y94" s="56"/>
      <c r="Z94" s="56"/>
      <c r="AA94" s="56"/>
      <c r="AB94" s="56"/>
      <c r="AC94" s="56"/>
      <c r="AD94" s="56"/>
      <c r="AE94" s="56"/>
      <c r="AF94" s="56"/>
      <c r="AG94" s="56"/>
      <c r="AH94" s="56"/>
      <c r="AI94" s="56"/>
      <c r="AJ94" s="56"/>
      <c r="AK94" s="56"/>
      <c r="AL94" s="56"/>
      <c r="AM94" s="56"/>
      <c r="AN94" s="56"/>
    </row>
    <row r="95" spans="1:40">
      <c r="A95" s="56"/>
      <c r="B95" s="56"/>
      <c r="C95" s="56"/>
      <c r="D95" s="56"/>
      <c r="E95" s="56"/>
      <c r="F95" s="56"/>
      <c r="G95" s="56"/>
      <c r="H95" s="56"/>
      <c r="I95" s="56"/>
      <c r="J95" s="56"/>
      <c r="K95" s="56"/>
      <c r="L95" s="56"/>
      <c r="M95" s="56"/>
      <c r="N95" s="56"/>
      <c r="O95" s="56"/>
      <c r="P95" s="56"/>
      <c r="Q95" s="56"/>
      <c r="R95" s="56"/>
      <c r="S95" s="56"/>
      <c r="T95" s="56"/>
      <c r="U95" s="56"/>
      <c r="V95" s="56"/>
      <c r="W95" s="56"/>
      <c r="X95" s="56"/>
      <c r="Y95" s="56"/>
      <c r="Z95" s="56"/>
      <c r="AA95" s="56"/>
      <c r="AB95" s="56"/>
      <c r="AC95" s="56"/>
      <c r="AD95" s="56"/>
      <c r="AE95" s="56"/>
      <c r="AF95" s="56"/>
      <c r="AG95" s="56"/>
      <c r="AH95" s="56"/>
      <c r="AI95" s="56"/>
      <c r="AJ95" s="56"/>
      <c r="AK95" s="56"/>
      <c r="AL95" s="56"/>
      <c r="AM95" s="56"/>
      <c r="AN95" s="56"/>
    </row>
    <row r="96" spans="1:40">
      <c r="A96" s="56"/>
      <c r="B96" s="56"/>
      <c r="C96" s="56"/>
      <c r="D96" s="56"/>
      <c r="E96" s="56"/>
      <c r="F96" s="56"/>
      <c r="G96" s="56"/>
      <c r="H96" s="56"/>
      <c r="I96" s="56"/>
      <c r="J96" s="56"/>
      <c r="K96" s="56"/>
      <c r="L96" s="56"/>
      <c r="M96" s="56"/>
      <c r="N96" s="56"/>
      <c r="O96" s="56"/>
      <c r="P96" s="56"/>
      <c r="Q96" s="56"/>
      <c r="R96" s="56"/>
      <c r="S96" s="56"/>
      <c r="T96" s="56"/>
      <c r="U96" s="56"/>
      <c r="V96" s="56"/>
      <c r="W96" s="56"/>
      <c r="X96" s="56"/>
      <c r="Y96" s="56"/>
      <c r="Z96" s="56"/>
      <c r="AA96" s="56"/>
      <c r="AB96" s="56"/>
      <c r="AC96" s="56"/>
      <c r="AD96" s="56"/>
      <c r="AE96" s="56"/>
      <c r="AF96" s="56"/>
      <c r="AG96" s="56"/>
      <c r="AH96" s="56"/>
      <c r="AI96" s="56"/>
      <c r="AJ96" s="56"/>
      <c r="AK96" s="56"/>
      <c r="AL96" s="56"/>
      <c r="AM96" s="56"/>
      <c r="AN96" s="56"/>
    </row>
    <row r="97" spans="1:40">
      <c r="A97" s="56"/>
      <c r="B97" s="56"/>
      <c r="C97" s="56"/>
      <c r="D97" s="56"/>
      <c r="E97" s="56"/>
      <c r="F97" s="56"/>
      <c r="G97" s="56"/>
      <c r="H97" s="56"/>
      <c r="I97" s="56"/>
      <c r="J97" s="56"/>
      <c r="K97" s="56"/>
      <c r="L97" s="56"/>
      <c r="M97" s="56"/>
      <c r="N97" s="56"/>
      <c r="O97" s="56"/>
      <c r="P97" s="56"/>
      <c r="Q97" s="56"/>
      <c r="R97" s="56"/>
      <c r="S97" s="56"/>
      <c r="T97" s="56"/>
      <c r="U97" s="56"/>
      <c r="V97" s="56"/>
      <c r="W97" s="56"/>
      <c r="X97" s="56"/>
      <c r="Y97" s="56"/>
      <c r="Z97" s="56"/>
      <c r="AA97" s="56"/>
      <c r="AB97" s="56"/>
      <c r="AC97" s="56"/>
      <c r="AD97" s="56"/>
      <c r="AE97" s="56"/>
      <c r="AF97" s="56"/>
      <c r="AG97" s="56"/>
      <c r="AH97" s="56"/>
      <c r="AI97" s="56"/>
      <c r="AJ97" s="56"/>
      <c r="AK97" s="56"/>
      <c r="AL97" s="56"/>
      <c r="AM97" s="56"/>
      <c r="AN97" s="56"/>
    </row>
    <row r="98" spans="1:40">
      <c r="A98" s="56"/>
      <c r="B98" s="56"/>
      <c r="C98" s="56"/>
      <c r="D98" s="56"/>
      <c r="E98" s="56"/>
      <c r="F98" s="56"/>
      <c r="G98" s="56"/>
      <c r="H98" s="56"/>
      <c r="I98" s="56"/>
      <c r="J98" s="56"/>
      <c r="K98" s="56"/>
      <c r="L98" s="56"/>
      <c r="M98" s="56"/>
      <c r="N98" s="56"/>
      <c r="O98" s="56"/>
      <c r="P98" s="56"/>
      <c r="Q98" s="56"/>
      <c r="R98" s="56"/>
      <c r="S98" s="56"/>
      <c r="T98" s="56"/>
      <c r="U98" s="56"/>
      <c r="V98" s="56"/>
      <c r="W98" s="56"/>
      <c r="X98" s="56"/>
      <c r="Y98" s="56"/>
      <c r="Z98" s="56"/>
      <c r="AA98" s="56"/>
      <c r="AB98" s="56"/>
      <c r="AC98" s="56"/>
      <c r="AD98" s="56"/>
      <c r="AE98" s="56"/>
      <c r="AF98" s="56"/>
      <c r="AG98" s="56"/>
      <c r="AH98" s="56"/>
      <c r="AI98" s="56"/>
      <c r="AJ98" s="56"/>
      <c r="AK98" s="56"/>
      <c r="AL98" s="56"/>
      <c r="AM98" s="56"/>
      <c r="AN98" s="56"/>
    </row>
    <row r="99" spans="1:40">
      <c r="A99" s="56"/>
      <c r="B99" s="56"/>
      <c r="C99" s="56"/>
      <c r="D99" s="56"/>
      <c r="E99" s="56"/>
      <c r="F99" s="56"/>
      <c r="G99" s="56"/>
      <c r="H99" s="56"/>
      <c r="I99" s="56"/>
      <c r="J99" s="56"/>
      <c r="K99" s="56"/>
      <c r="L99" s="56"/>
      <c r="M99" s="56"/>
      <c r="N99" s="56"/>
      <c r="O99" s="56"/>
      <c r="P99" s="56"/>
      <c r="Q99" s="56"/>
      <c r="R99" s="56"/>
      <c r="S99" s="56"/>
      <c r="T99" s="56"/>
      <c r="U99" s="56"/>
      <c r="V99" s="56"/>
      <c r="W99" s="56"/>
      <c r="X99" s="56"/>
      <c r="Y99" s="56"/>
      <c r="Z99" s="56"/>
      <c r="AA99" s="56"/>
      <c r="AB99" s="56"/>
      <c r="AC99" s="56"/>
      <c r="AD99" s="56"/>
      <c r="AE99" s="56"/>
      <c r="AF99" s="56"/>
      <c r="AG99" s="56"/>
      <c r="AH99" s="56"/>
      <c r="AI99" s="56"/>
      <c r="AJ99" s="56"/>
      <c r="AK99" s="56"/>
      <c r="AL99" s="56"/>
      <c r="AM99" s="56"/>
      <c r="AN99" s="56"/>
    </row>
    <row r="100" spans="1:40">
      <c r="A100" s="56"/>
      <c r="B100" s="56"/>
      <c r="C100" s="56"/>
      <c r="D100" s="56"/>
      <c r="E100" s="56"/>
      <c r="F100" s="56"/>
      <c r="G100" s="56"/>
      <c r="H100" s="56"/>
      <c r="I100" s="56"/>
      <c r="J100" s="56"/>
      <c r="K100" s="56"/>
      <c r="L100" s="56"/>
      <c r="M100" s="56"/>
      <c r="N100" s="56"/>
      <c r="O100" s="56"/>
      <c r="P100" s="56"/>
      <c r="Q100" s="56"/>
      <c r="R100" s="56"/>
      <c r="S100" s="56"/>
      <c r="T100" s="56"/>
      <c r="U100" s="56"/>
      <c r="V100" s="56"/>
      <c r="W100" s="56"/>
      <c r="X100" s="56"/>
      <c r="Y100" s="56"/>
      <c r="Z100" s="56"/>
      <c r="AA100" s="56"/>
      <c r="AB100" s="56"/>
      <c r="AC100" s="56"/>
      <c r="AD100" s="56"/>
      <c r="AE100" s="56"/>
      <c r="AF100" s="56"/>
      <c r="AG100" s="56"/>
      <c r="AH100" s="56"/>
      <c r="AI100" s="56"/>
      <c r="AJ100" s="56"/>
      <c r="AK100" s="56"/>
      <c r="AL100" s="56"/>
      <c r="AM100" s="56"/>
      <c r="AN100" s="56"/>
    </row>
  </sheetData>
  <sheetProtection sheet="1" objects="1" scenarios="1"/>
  <mergeCells count="1">
    <mergeCell ref="B2:S2"/>
  </mergeCells>
  <phoneticPr fontId="1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計画管理表</vt:lpstr>
      <vt:lpstr>作業リスト</vt:lpstr>
      <vt:lpstr>使用方法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加藤 立登</dc:creator>
  <cp:lastModifiedBy>加藤 立登</cp:lastModifiedBy>
  <dcterms:created xsi:type="dcterms:W3CDTF">2019-05-22T06:30:47Z</dcterms:created>
  <dcterms:modified xsi:type="dcterms:W3CDTF">2019-05-24T02:15:02Z</dcterms:modified>
</cp:coreProperties>
</file>