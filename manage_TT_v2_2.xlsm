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-kato\Documents\研修02_マイコン\tmp\"/>
    </mc:Choice>
  </mc:AlternateContent>
  <bookViews>
    <workbookView xWindow="0" yWindow="0" windowWidth="18360" windowHeight="11280"/>
  </bookViews>
  <sheets>
    <sheet name="計画管理表" sheetId="1" r:id="rId1"/>
    <sheet name="作業リスト" sheetId="2" r:id="rId2"/>
    <sheet name="使用方法" sheetId="3" r:id="rId3"/>
    <sheet name="プルダウンリスト" sheetId="4" r:id="rId4"/>
  </sheets>
  <definedNames>
    <definedName name="_xlnm._FilterDatabase" localSheetId="0" hidden="1">計画管理表!$G$11:$G$55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2" i="1" l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P11" i="1"/>
  <c r="O11" i="1"/>
  <c r="O20" i="2"/>
  <c r="F13" i="1" l="1"/>
  <c r="F12" i="1" l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11" i="1"/>
  <c r="M56" i="1"/>
  <c r="C11" i="1" l="1"/>
  <c r="H11" i="1" s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12" i="1"/>
  <c r="H55" i="1" l="1"/>
  <c r="H51" i="1"/>
  <c r="H47" i="1"/>
  <c r="H43" i="1"/>
  <c r="H39" i="1"/>
  <c r="H35" i="1"/>
  <c r="H31" i="1"/>
  <c r="H27" i="1"/>
  <c r="H53" i="1"/>
  <c r="H49" i="1"/>
  <c r="H45" i="1"/>
  <c r="H41" i="1"/>
  <c r="H37" i="1"/>
  <c r="H33" i="1"/>
  <c r="H29" i="1"/>
  <c r="H52" i="1"/>
  <c r="H48" i="1"/>
  <c r="H44" i="1"/>
  <c r="H40" i="1"/>
  <c r="H36" i="1"/>
  <c r="H32" i="1"/>
  <c r="H28" i="1"/>
  <c r="H50" i="1"/>
  <c r="H42" i="1"/>
  <c r="H34" i="1"/>
  <c r="H30" i="1"/>
  <c r="C12" i="1"/>
  <c r="H12" i="1" s="1"/>
  <c r="H54" i="1"/>
  <c r="H46" i="1"/>
  <c r="H38" i="1"/>
  <c r="H26" i="1"/>
  <c r="B13" i="1"/>
  <c r="B14" i="1" l="1"/>
  <c r="C13" i="1"/>
  <c r="H13" i="1" s="1"/>
  <c r="B15" i="1" l="1"/>
  <c r="C14" i="1"/>
  <c r="H14" i="1" s="1"/>
  <c r="B16" i="1" l="1"/>
  <c r="C15" i="1"/>
  <c r="H15" i="1" s="1"/>
  <c r="B17" i="1" l="1"/>
  <c r="C16" i="1"/>
  <c r="H16" i="1" s="1"/>
  <c r="C17" i="1" l="1"/>
  <c r="H17" i="1" s="1"/>
  <c r="B18" i="1"/>
  <c r="C18" i="1" l="1"/>
  <c r="H18" i="1" s="1"/>
  <c r="B19" i="1"/>
  <c r="B20" i="1" l="1"/>
  <c r="C19" i="1"/>
  <c r="H19" i="1" s="1"/>
  <c r="B21" i="1" l="1"/>
  <c r="C20" i="1"/>
  <c r="H20" i="1" s="1"/>
  <c r="C21" i="1" l="1"/>
  <c r="H21" i="1" s="1"/>
  <c r="B22" i="1"/>
  <c r="B23" i="1" l="1"/>
  <c r="C22" i="1"/>
  <c r="H22" i="1" s="1"/>
  <c r="C23" i="1" l="1"/>
  <c r="H23" i="1" s="1"/>
  <c r="B24" i="1"/>
  <c r="C24" i="1" l="1"/>
  <c r="H24" i="1" s="1"/>
  <c r="B25" i="1"/>
  <c r="H25" i="1" s="1"/>
  <c r="Q67" i="1"/>
</calcChain>
</file>

<file path=xl/sharedStrings.xml><?xml version="1.0" encoding="utf-8"?>
<sst xmlns="http://schemas.openxmlformats.org/spreadsheetml/2006/main" count="148" uniqueCount="116">
  <si>
    <t>＜新人研修1日計画管理表＞</t>
    <rPh sb="1" eb="3">
      <t>シンジン</t>
    </rPh>
    <rPh sb="3" eb="5">
      <t>ケンシュウ</t>
    </rPh>
    <rPh sb="6" eb="7">
      <t>ニチ</t>
    </rPh>
    <rPh sb="7" eb="9">
      <t>ケイカク</t>
    </rPh>
    <rPh sb="9" eb="11">
      <t>カンリ</t>
    </rPh>
    <rPh sb="11" eb="12">
      <t>ヒョウ</t>
    </rPh>
    <phoneticPr fontId="1"/>
  </si>
  <si>
    <t>時間</t>
    <rPh sb="0" eb="2">
      <t>ジカン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</si>
  <si>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</si>
  <si>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</si>
  <si>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作業内容</t>
    <rPh sb="0" eb="2">
      <t>サギョウ</t>
    </rPh>
    <rPh sb="2" eb="4">
      <t>ナイヨウ</t>
    </rPh>
    <phoneticPr fontId="1"/>
  </si>
  <si>
    <t>作業インターバル</t>
    <rPh sb="0" eb="2">
      <t>サギョウ</t>
    </rPh>
    <phoneticPr fontId="1"/>
  </si>
  <si>
    <t>調整時間</t>
    <rPh sb="0" eb="2">
      <t>チョウセイ</t>
    </rPh>
    <rPh sb="2" eb="4">
      <t>ジカン</t>
    </rPh>
    <phoneticPr fontId="1"/>
  </si>
  <si>
    <t>完</t>
    <rPh sb="0" eb="1">
      <t>カン</t>
    </rPh>
    <phoneticPr fontId="1"/>
  </si>
  <si>
    <t>予備、総括、日報</t>
    <rPh sb="0" eb="2">
      <t>ヨビ</t>
    </rPh>
    <rPh sb="3" eb="5">
      <t>ソウカツ</t>
    </rPh>
    <rPh sb="6" eb="8">
      <t>ニッポウ</t>
    </rPh>
    <phoneticPr fontId="1"/>
  </si>
  <si>
    <t>未</t>
    <rPh sb="0" eb="1">
      <t>ミ</t>
    </rPh>
    <phoneticPr fontId="1"/>
  </si>
  <si>
    <t>完了状態
(完・続・未)</t>
    <rPh sb="0" eb="2">
      <t>カンリョウ</t>
    </rPh>
    <rPh sb="2" eb="4">
      <t>ジョウタイ</t>
    </rPh>
    <rPh sb="6" eb="7">
      <t>カン</t>
    </rPh>
    <rPh sb="8" eb="9">
      <t>ゾク</t>
    </rPh>
    <rPh sb="10" eb="11">
      <t>ミ</t>
    </rPh>
    <phoneticPr fontId="1"/>
  </si>
  <si>
    <t>進行
位置</t>
    <rPh sb="0" eb="2">
      <t>シンコウ</t>
    </rPh>
    <rPh sb="3" eb="5">
      <t>イチ</t>
    </rPh>
    <phoneticPr fontId="1"/>
  </si>
  <si>
    <t>昼休憩</t>
    <rPh sb="0" eb="3">
      <t>ヒルキュウケイ</t>
    </rPh>
    <phoneticPr fontId="1"/>
  </si>
  <si>
    <t>未</t>
  </si>
  <si>
    <t>作業内容</t>
    <rPh sb="0" eb="2">
      <t>サギョウ</t>
    </rPh>
    <rPh sb="2" eb="4">
      <t>ナイヨウ</t>
    </rPh>
    <phoneticPr fontId="1"/>
  </si>
  <si>
    <t>作業インターバル</t>
    <rPh sb="0" eb="2">
      <t>サギョウ</t>
    </rPh>
    <phoneticPr fontId="1"/>
  </si>
  <si>
    <t>＜作業内容インターバルメモ＞</t>
    <rPh sb="1" eb="3">
      <t>サギョウ</t>
    </rPh>
    <rPh sb="3" eb="5">
      <t>ナイヨウ</t>
    </rPh>
    <phoneticPr fontId="1"/>
  </si>
  <si>
    <t>作業ID</t>
    <rPh sb="0" eb="2">
      <t>サギョウ</t>
    </rPh>
    <phoneticPr fontId="1"/>
  </si>
  <si>
    <t>合計作業時間</t>
    <rPh sb="0" eb="2">
      <t>ゴウケイ</t>
    </rPh>
    <rPh sb="2" eb="4">
      <t>サギョウ</t>
    </rPh>
    <rPh sb="4" eb="6">
      <t>ジカン</t>
    </rPh>
    <phoneticPr fontId="1"/>
  </si>
  <si>
    <t>現在時刻</t>
    <rPh sb="0" eb="2">
      <t>ゲンザイ</t>
    </rPh>
    <rPh sb="2" eb="4">
      <t>ジコク</t>
    </rPh>
    <phoneticPr fontId="1"/>
  </si>
  <si>
    <t>W001</t>
  </si>
  <si>
    <t>W002</t>
  </si>
  <si>
    <t>W003</t>
  </si>
  <si>
    <t>W004</t>
  </si>
  <si>
    <t>W005</t>
  </si>
  <si>
    <t>W006</t>
  </si>
  <si>
    <t>W007</t>
  </si>
  <si>
    <t>W008</t>
  </si>
  <si>
    <t>W009</t>
  </si>
  <si>
    <t>W010</t>
  </si>
  <si>
    <t>W011</t>
  </si>
  <si>
    <t>W012</t>
  </si>
  <si>
    <t>W013</t>
  </si>
  <si>
    <t>W014</t>
  </si>
  <si>
    <t>W015</t>
  </si>
  <si>
    <t>W016</t>
  </si>
  <si>
    <t>W017</t>
  </si>
  <si>
    <t>W018</t>
  </si>
  <si>
    <t>W019</t>
  </si>
  <si>
    <t>W020</t>
  </si>
  <si>
    <t>W021</t>
  </si>
  <si>
    <t>W022</t>
  </si>
  <si>
    <t>W023</t>
  </si>
  <si>
    <t>W024</t>
  </si>
  <si>
    <t>W025</t>
  </si>
  <si>
    <t>W026</t>
  </si>
  <si>
    <t>W027</t>
  </si>
  <si>
    <t>W028</t>
  </si>
  <si>
    <t>W029</t>
  </si>
  <si>
    <t>W030</t>
  </si>
  <si>
    <t>W031</t>
  </si>
  <si>
    <t>W032</t>
  </si>
  <si>
    <t>W033</t>
  </si>
  <si>
    <t>W034</t>
  </si>
  <si>
    <t>W035</t>
  </si>
  <si>
    <t>W036</t>
  </si>
  <si>
    <t>W037</t>
  </si>
  <si>
    <t>W038</t>
  </si>
  <si>
    <t>W039</t>
  </si>
  <si>
    <t>W040</t>
  </si>
  <si>
    <t>W041</t>
  </si>
  <si>
    <t>W042</t>
  </si>
  <si>
    <t>W043</t>
  </si>
  <si>
    <t>W044</t>
  </si>
  <si>
    <t>W045</t>
  </si>
  <si>
    <t>W046</t>
  </si>
  <si>
    <t>W047</t>
  </si>
  <si>
    <t>W048</t>
  </si>
  <si>
    <t>W049</t>
  </si>
  <si>
    <t>W050</t>
  </si>
  <si>
    <t>REST01</t>
  </si>
  <si>
    <t>REST02</t>
  </si>
  <si>
    <t>REST03</t>
  </si>
  <si>
    <t>REST04</t>
  </si>
  <si>
    <t>REST05</t>
  </si>
  <si>
    <t>&lt;&lt; -- 終了 -- &gt;&gt;</t>
    <rPh sb="6" eb="8">
      <t>シュウリョウ</t>
    </rPh>
    <phoneticPr fontId="1"/>
  </si>
  <si>
    <t>＜作業リスト＞</t>
    <rPh sb="1" eb="3">
      <t>サギョウ</t>
    </rPh>
    <phoneticPr fontId="1"/>
  </si>
  <si>
    <t>＜作業時間統計＞</t>
    <rPh sb="1" eb="3">
      <t>サギョウ</t>
    </rPh>
    <rPh sb="3" eb="5">
      <t>ジカン</t>
    </rPh>
    <rPh sb="5" eb="7">
      <t>トウケイ</t>
    </rPh>
    <phoneticPr fontId="1"/>
  </si>
  <si>
    <t>作業時間</t>
    <rPh sb="0" eb="2">
      <t>サギョウ</t>
    </rPh>
    <rPh sb="2" eb="4">
      <t>ジカン</t>
    </rPh>
    <phoneticPr fontId="1"/>
  </si>
  <si>
    <t>＜計画管理表の使用方法＞</t>
    <rPh sb="1" eb="3">
      <t>ケイカク</t>
    </rPh>
    <rPh sb="3" eb="5">
      <t>カンリ</t>
    </rPh>
    <rPh sb="5" eb="6">
      <t>ヒョウ</t>
    </rPh>
    <rPh sb="7" eb="9">
      <t>シヨウ</t>
    </rPh>
    <rPh sb="9" eb="11">
      <t>ホウホウ</t>
    </rPh>
    <phoneticPr fontId="1"/>
  </si>
  <si>
    <t>〇手順</t>
    <rPh sb="1" eb="3">
      <t>テジュン</t>
    </rPh>
    <phoneticPr fontId="1"/>
  </si>
  <si>
    <t>1. 「作業リスト」シートに作業内容を設定する</t>
    <rPh sb="4" eb="6">
      <t>サギョウ</t>
    </rPh>
    <rPh sb="14" eb="16">
      <t>サギョウ</t>
    </rPh>
    <rPh sb="16" eb="18">
      <t>ナイヨウ</t>
    </rPh>
    <rPh sb="19" eb="21">
      <t>セッテイ</t>
    </rPh>
    <phoneticPr fontId="1"/>
  </si>
  <si>
    <t>2. 「計画管理表」シートの「＜新人研修1日計画管理表＞」部分の「作業ID」列に「作業リスト」シート内の</t>
    <rPh sb="4" eb="6">
      <t>ケイカク</t>
    </rPh>
    <rPh sb="6" eb="8">
      <t>カンリ</t>
    </rPh>
    <rPh sb="8" eb="9">
      <t>ヒョウ</t>
    </rPh>
    <rPh sb="29" eb="31">
      <t>ブブン</t>
    </rPh>
    <rPh sb="33" eb="35">
      <t>サギョウ</t>
    </rPh>
    <rPh sb="38" eb="39">
      <t>レツ</t>
    </rPh>
    <rPh sb="41" eb="43">
      <t>サギョウ</t>
    </rPh>
    <rPh sb="50" eb="51">
      <t>ナイ</t>
    </rPh>
    <phoneticPr fontId="1"/>
  </si>
  <si>
    <t>目的の作業内容に対応するIDを入力する</t>
  </si>
  <si>
    <t>3. 「計画管理表」シートの「＜新人研修1日計画管理表＞」部分の「時間 &gt; 作業インターバル」列に1作業毎の</t>
    <rPh sb="4" eb="9">
      <t>ケイカクカンリヒョウ</t>
    </rPh>
    <rPh sb="33" eb="35">
      <t>ジカン</t>
    </rPh>
    <rPh sb="38" eb="40">
      <t>サギョウ</t>
    </rPh>
    <rPh sb="47" eb="48">
      <t>レツ</t>
    </rPh>
    <rPh sb="50" eb="52">
      <t>サギョウ</t>
    </rPh>
    <rPh sb="52" eb="53">
      <t>ゴト</t>
    </rPh>
    <phoneticPr fontId="1"/>
  </si>
  <si>
    <t>作業インターバル時間を入力する</t>
  </si>
  <si>
    <t>※作業IDを入力すると、自動的に作業内容列に対応する作業内容文字列が代入されます。</t>
    <rPh sb="1" eb="3">
      <t>サギョウ</t>
    </rPh>
    <rPh sb="6" eb="8">
      <t>ニュウリョク</t>
    </rPh>
    <rPh sb="12" eb="15">
      <t>ジドウテキ</t>
    </rPh>
    <rPh sb="16" eb="20">
      <t>サギョウナイヨウ</t>
    </rPh>
    <rPh sb="20" eb="21">
      <t>レツ</t>
    </rPh>
    <rPh sb="22" eb="24">
      <t>タイオウ</t>
    </rPh>
    <rPh sb="26" eb="30">
      <t>サギョウナイヨウ</t>
    </rPh>
    <rPh sb="30" eb="33">
      <t>モジレツ</t>
    </rPh>
    <rPh sb="34" eb="36">
      <t>ダイニュウ</t>
    </rPh>
    <phoneticPr fontId="1"/>
  </si>
  <si>
    <t>※作業インターバル時間を入力すると、自動的に開始時刻と終了時刻が代入されます。</t>
    <rPh sb="1" eb="3">
      <t>サギョウ</t>
    </rPh>
    <rPh sb="9" eb="11">
      <t>ジカン</t>
    </rPh>
    <rPh sb="12" eb="14">
      <t>ニュウリョク</t>
    </rPh>
    <rPh sb="18" eb="21">
      <t>ジドウテキ</t>
    </rPh>
    <rPh sb="22" eb="24">
      <t>カイシ</t>
    </rPh>
    <rPh sb="24" eb="26">
      <t>ジコク</t>
    </rPh>
    <rPh sb="27" eb="29">
      <t>シュウリョウ</t>
    </rPh>
    <rPh sb="29" eb="31">
      <t>ジコク</t>
    </rPh>
    <rPh sb="32" eb="34">
      <t>ダイニュウ</t>
    </rPh>
    <phoneticPr fontId="1"/>
  </si>
  <si>
    <t>4. 必要に応じて、「計画管理表」シートの「＜作業内容インターバルメモ＞」部分を利用する</t>
    <rPh sb="3" eb="5">
      <t>ヒツヨウ</t>
    </rPh>
    <rPh sb="6" eb="7">
      <t>オウ</t>
    </rPh>
    <rPh sb="11" eb="16">
      <t>ケイカクカンリヒョウ</t>
    </rPh>
    <rPh sb="37" eb="39">
      <t>ブブン</t>
    </rPh>
    <rPh sb="40" eb="42">
      <t>リヨウ</t>
    </rPh>
    <phoneticPr fontId="1"/>
  </si>
  <si>
    <t>※作業ID列と作業インターバル列への入力方法は、手順2、3と同様です。</t>
    <rPh sb="1" eb="3">
      <t>サギョウ</t>
    </rPh>
    <rPh sb="5" eb="6">
      <t>レツ</t>
    </rPh>
    <rPh sb="7" eb="9">
      <t>サギョウ</t>
    </rPh>
    <rPh sb="15" eb="16">
      <t>レツ</t>
    </rPh>
    <rPh sb="18" eb="20">
      <t>ニュウリョク</t>
    </rPh>
    <rPh sb="20" eb="22">
      <t>ホウホウ</t>
    </rPh>
    <rPh sb="24" eb="26">
      <t>テジュン</t>
    </rPh>
    <rPh sb="30" eb="32">
      <t>ドウヨウ</t>
    </rPh>
    <phoneticPr fontId="1"/>
  </si>
  <si>
    <t>・昼休憩などの休憩には、REST**の作業IDを、1日の終わりには、ENDの作業IDを利用する</t>
    <rPh sb="1" eb="2">
      <t>ヒル</t>
    </rPh>
    <rPh sb="2" eb="4">
      <t>キュウケイ</t>
    </rPh>
    <rPh sb="7" eb="9">
      <t>キュウケイ</t>
    </rPh>
    <rPh sb="19" eb="21">
      <t>サギョウ</t>
    </rPh>
    <rPh sb="26" eb="27">
      <t>ニチ</t>
    </rPh>
    <rPh sb="28" eb="29">
      <t>オ</t>
    </rPh>
    <rPh sb="38" eb="40">
      <t>サギョウ</t>
    </rPh>
    <rPh sb="43" eb="45">
      <t>リヨウ</t>
    </rPh>
    <phoneticPr fontId="1"/>
  </si>
  <si>
    <t>5. 「計画管理表」シートの「＜作業時間統計＞」部分に、各作業内容毎の合計作業時間、1日の全作業時間が</t>
    <rPh sb="24" eb="26">
      <t>ブブン</t>
    </rPh>
    <rPh sb="28" eb="29">
      <t>カク</t>
    </rPh>
    <rPh sb="29" eb="31">
      <t>サギョウ</t>
    </rPh>
    <rPh sb="31" eb="33">
      <t>ナイヨウ</t>
    </rPh>
    <rPh sb="33" eb="34">
      <t>ゴト</t>
    </rPh>
    <rPh sb="35" eb="37">
      <t>ゴウケイ</t>
    </rPh>
    <rPh sb="37" eb="39">
      <t>サギョウ</t>
    </rPh>
    <rPh sb="39" eb="41">
      <t>ジカン</t>
    </rPh>
    <rPh sb="43" eb="44">
      <t>ニチ</t>
    </rPh>
    <rPh sb="45" eb="46">
      <t>ゼン</t>
    </rPh>
    <rPh sb="46" eb="48">
      <t>サギョウ</t>
    </rPh>
    <rPh sb="48" eb="50">
      <t>ジカン</t>
    </rPh>
    <phoneticPr fontId="1"/>
  </si>
  <si>
    <t>表示される</t>
  </si>
  <si>
    <t>END</t>
  </si>
  <si>
    <t>※作業リストの休憩時間(ID: REST01～REST05)と、終了(ID: END)の作業インターバル時間は</t>
    <rPh sb="1" eb="3">
      <t>サギョウ</t>
    </rPh>
    <rPh sb="7" eb="9">
      <t>キュウケイ</t>
    </rPh>
    <rPh sb="9" eb="11">
      <t>ジカン</t>
    </rPh>
    <rPh sb="32" eb="34">
      <t>シュウリョウ</t>
    </rPh>
    <rPh sb="44" eb="46">
      <t>サギョウ</t>
    </rPh>
    <rPh sb="52" eb="54">
      <t>ジカン</t>
    </rPh>
    <phoneticPr fontId="1"/>
  </si>
  <si>
    <t>自動的に排除されます。</t>
  </si>
  <si>
    <t>計画管理ツールUpdate(Git)</t>
    <rPh sb="0" eb="2">
      <t>ケイカク</t>
    </rPh>
    <rPh sb="2" eb="4">
      <t>カンリ</t>
    </rPh>
    <phoneticPr fontId="1"/>
  </si>
  <si>
    <t>W001</t>
    <phoneticPr fontId="1"/>
  </si>
  <si>
    <t>REST01</t>
    <phoneticPr fontId="1"/>
  </si>
  <si>
    <t>完</t>
    <rPh sb="0" eb="1">
      <t>カン</t>
    </rPh>
    <phoneticPr fontId="1"/>
  </si>
  <si>
    <t>続</t>
    <rPh sb="0" eb="1">
      <t>ゾク</t>
    </rPh>
    <phoneticPr fontId="1"/>
  </si>
  <si>
    <t>アルゴリズム確認、フローチャート作成</t>
    <rPh sb="6" eb="8">
      <t>カクニン</t>
    </rPh>
    <rPh sb="16" eb="18">
      <t>サクセイ</t>
    </rPh>
    <phoneticPr fontId="1"/>
  </si>
  <si>
    <t>コーディング</t>
    <phoneticPr fontId="1"/>
  </si>
  <si>
    <t>進行状況確認</t>
    <rPh sb="0" eb="6">
      <t>シンコウジョウキョウカクニン</t>
    </rPh>
    <phoneticPr fontId="1"/>
  </si>
  <si>
    <t>進行状況確認、外部レビュー</t>
    <rPh sb="0" eb="6">
      <t>シンコウジョウキョウカクニン</t>
    </rPh>
    <rPh sb="7" eb="9">
      <t>ガイブ</t>
    </rPh>
    <phoneticPr fontId="1"/>
  </si>
  <si>
    <t>外部レビュー</t>
    <rPh sb="0" eb="2">
      <t>ガイブ</t>
    </rPh>
    <phoneticPr fontId="1"/>
  </si>
  <si>
    <t>W006</t>
    <phoneticPr fontId="1"/>
  </si>
  <si>
    <t>W005</t>
    <phoneticPr fontId="1"/>
  </si>
  <si>
    <t>W007</t>
    <phoneticPr fontId="1"/>
  </si>
  <si>
    <t>W005</t>
    <phoneticPr fontId="1"/>
  </si>
  <si>
    <t>W008</t>
    <phoneticPr fontId="1"/>
  </si>
  <si>
    <t>W009</t>
    <phoneticPr fontId="1"/>
  </si>
  <si>
    <t>フローチャート作成</t>
    <rPh sb="7" eb="9">
      <t>サクセイ</t>
    </rPh>
    <phoneticPr fontId="1"/>
  </si>
  <si>
    <t>作業詳細・備考</t>
    <rPh sb="0" eb="2">
      <t>サギョウ</t>
    </rPh>
    <rPh sb="2" eb="4">
      <t>ショウサイ</t>
    </rPh>
    <rPh sb="5" eb="7">
      <t>ビコウ</t>
    </rPh>
    <phoneticPr fontId="1"/>
  </si>
  <si>
    <t>完了状態
(完・続・未)</t>
    <rPh sb="0" eb="4">
      <t>カンリョウジョウタイ</t>
    </rPh>
    <rPh sb="6" eb="7">
      <t>カン</t>
    </rPh>
    <rPh sb="8" eb="9">
      <t>ゾク</t>
    </rPh>
    <rPh sb="10" eb="11">
      <t>ミ</t>
    </rPh>
    <phoneticPr fontId="1"/>
  </si>
  <si>
    <t>作業インターバル時間</t>
    <rPh sb="0" eb="2">
      <t>サギョウ</t>
    </rPh>
    <rPh sb="8" eb="10">
      <t>ジカン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</si>
</sst>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[$-F400]h:mm:ss\ AM/PM"/>
    <numFmt numFmtId="177" formatCode="h:mm;@"/>
  </numFmts>
  <fonts count="1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color theme="5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b/>
      <sz val="12"/>
      <color theme="7" tint="0.39997558519241921"/>
      <name val="HGS創英角ｺﾞｼｯｸUB"/>
      <family val="3"/>
      <charset val="128"/>
    </font>
    <font>
      <b/>
      <sz val="9"/>
      <color theme="9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</fills>
  <borders count="61">
    <border>
      <left/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/>
      <bottom style="double">
        <color auto="1"/>
      </bottom>
      <diagonal/>
    </border>
    <border>
      <left/>
      <right style="slantDashDot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slantDashDot">
        <color auto="1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thin">
        <color auto="1"/>
      </right>
      <top style="double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tted">
        <color auto="1"/>
      </bottom>
      <diagonal/>
    </border>
    <border>
      <left style="thin">
        <color auto="1"/>
      </left>
      <right style="slantDashDot">
        <color auto="1"/>
      </right>
      <top style="double">
        <color auto="1"/>
      </top>
      <bottom style="dotted">
        <color auto="1"/>
      </bottom>
      <diagonal/>
    </border>
    <border>
      <left/>
      <right style="thin">
        <color auto="1"/>
      </right>
      <top style="double">
        <color auto="1"/>
      </top>
      <bottom style="dotted">
        <color auto="1"/>
      </bottom>
      <diagonal/>
    </border>
    <border>
      <left style="thin">
        <color auto="1"/>
      </left>
      <right style="medium">
        <color auto="1"/>
      </right>
      <top style="double">
        <color auto="1"/>
      </top>
      <bottom style="dotted">
        <color auto="1"/>
      </bottom>
      <diagonal/>
    </border>
    <border>
      <left style="medium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slantDashDot">
        <color auto="1"/>
      </right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slantDashDot">
        <color auto="1"/>
      </right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tted">
        <color auto="1"/>
      </bottom>
      <diagonal/>
    </border>
    <border>
      <left style="medium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 style="medium">
        <color auto="1"/>
      </right>
      <top/>
      <bottom style="dotted">
        <color auto="1"/>
      </bottom>
      <diagonal/>
    </border>
    <border>
      <left style="medium">
        <color auto="1"/>
      </left>
      <right style="thin">
        <color auto="1"/>
      </right>
      <top style="dotted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dotted">
        <color auto="1"/>
      </top>
      <bottom style="double">
        <color auto="1"/>
      </bottom>
      <diagonal/>
    </border>
    <border>
      <left style="medium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auto="1"/>
      </right>
      <top style="slantDashDot">
        <color auto="1"/>
      </top>
      <bottom style="medium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slantDashDot">
        <color auto="1"/>
      </left>
      <right style="thin">
        <color auto="1"/>
      </right>
      <top style="medium">
        <color auto="1"/>
      </top>
      <bottom/>
      <diagonal/>
    </border>
    <border>
      <left style="slantDashDot">
        <color auto="1"/>
      </left>
      <right style="thin">
        <color auto="1"/>
      </right>
      <top/>
      <bottom style="double">
        <color auto="1"/>
      </bottom>
      <diagonal/>
    </border>
    <border>
      <left style="slantDashDot">
        <color auto="1"/>
      </left>
      <right style="thin">
        <color auto="1"/>
      </right>
      <top style="double">
        <color auto="1"/>
      </top>
      <bottom style="dotted">
        <color auto="1"/>
      </bottom>
      <diagonal/>
    </border>
    <border>
      <left style="slantDashDot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slantDashDot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 style="medium">
        <color auto="1"/>
      </left>
      <right/>
      <top style="slantDashDot">
        <color auto="1"/>
      </top>
      <bottom style="medium">
        <color auto="1"/>
      </bottom>
      <diagonal/>
    </border>
    <border>
      <left/>
      <right style="thin">
        <color auto="1"/>
      </right>
      <top style="slantDashDot">
        <color auto="1"/>
      </top>
      <bottom style="medium">
        <color auto="1"/>
      </bottom>
      <diagonal/>
    </border>
    <border>
      <left/>
      <right style="mediumDashDot">
        <color auto="1"/>
      </right>
      <top/>
      <bottom/>
      <diagonal/>
    </border>
    <border>
      <left style="mediumDashDot">
        <color auto="1"/>
      </left>
      <right/>
      <top/>
      <bottom style="mediumDashDot">
        <color auto="1"/>
      </bottom>
      <diagonal/>
    </border>
    <border>
      <left/>
      <right/>
      <top/>
      <bottom style="mediumDashDot">
        <color auto="1"/>
      </bottom>
      <diagonal/>
    </border>
    <border>
      <left/>
      <right style="mediumDashDot">
        <color auto="1"/>
      </right>
      <top/>
      <bottom style="mediumDashDot">
        <color auto="1"/>
      </bottom>
      <diagonal/>
    </border>
    <border>
      <left style="mediumDashDot">
        <color auto="1"/>
      </left>
      <right/>
      <top style="mediumDashDot">
        <color auto="1"/>
      </top>
      <bottom style="slantDashDot">
        <color auto="1"/>
      </bottom>
      <diagonal/>
    </border>
    <border>
      <left/>
      <right/>
      <top style="mediumDashDot">
        <color auto="1"/>
      </top>
      <bottom style="slantDashDot">
        <color auto="1"/>
      </bottom>
      <diagonal/>
    </border>
    <border>
      <left/>
      <right style="mediumDashDot">
        <color auto="1"/>
      </right>
      <top style="mediumDashDot">
        <color auto="1"/>
      </top>
      <bottom style="slantDashDot">
        <color auto="1"/>
      </bottom>
      <diagonal/>
    </border>
    <border>
      <left style="mediumDashDot">
        <color auto="1"/>
      </left>
      <right/>
      <top style="slantDashDot">
        <color auto="1"/>
      </top>
      <bottom/>
      <diagonal/>
    </border>
    <border>
      <left/>
      <right/>
      <top style="slantDashDot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uble">
        <color auto="1"/>
      </bottom>
      <diagonal/>
    </border>
    <border>
      <left/>
      <right/>
      <top/>
      <bottom style="double">
        <color auto="1"/>
      </bottom>
      <diagonal/>
    </border>
  </borders>
  <cellStyleXfs count="1">
    <xf numFmtId="0" fontId="0" fillId="0" borderId="0">
      <alignment vertical="center"/>
    </xf>
  </cellStyleXfs>
  <cellXfs count="95">
    <xf numFmtId="0" fontId="0" fillId="0" borderId="0" xfId="0">
      <alignment vertical="center"/>
    </xf>
    <xf numFmtId="0" fontId="2" fillId="0" borderId="5" xfId="0" applyFont="1" applyBorder="1" applyAlignment="1" applyProtection="1">
      <alignment horizontal="center" vertical="center"/>
    </xf>
    <xf numFmtId="0" fontId="2" fillId="0" borderId="6" xfId="0" applyFont="1" applyBorder="1" applyAlignment="1" applyProtection="1">
      <alignment horizontal="center" vertical="center"/>
    </xf>
    <xf numFmtId="0" fontId="2" fillId="0" borderId="12" xfId="0" applyFont="1" applyBorder="1" applyAlignment="1" applyProtection="1">
      <alignment horizontal="center" vertical="center"/>
    </xf>
    <xf numFmtId="20" fontId="0" fillId="0" borderId="13" xfId="0" applyNumberFormat="1" applyBorder="1" applyAlignment="1" applyProtection="1">
      <alignment horizontal="right" vertical="center"/>
    </xf>
    <xf numFmtId="20" fontId="0" fillId="0" borderId="14" xfId="0" applyNumberFormat="1" applyBorder="1" applyAlignment="1" applyProtection="1">
      <alignment horizontal="right" vertical="center"/>
    </xf>
    <xf numFmtId="20" fontId="0" fillId="0" borderId="15" xfId="0" applyNumberFormat="1" applyBorder="1" applyAlignment="1" applyProtection="1">
      <alignment horizontal="right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20" fontId="0" fillId="0" borderId="18" xfId="0" applyNumberFormat="1" applyBorder="1" applyAlignment="1" applyProtection="1">
      <alignment horizontal="right" vertical="center"/>
    </xf>
    <xf numFmtId="20" fontId="0" fillId="0" borderId="19" xfId="0" applyNumberFormat="1" applyBorder="1" applyAlignment="1" applyProtection="1">
      <alignment horizontal="right" vertical="center"/>
    </xf>
    <xf numFmtId="20" fontId="0" fillId="0" borderId="20" xfId="0" applyNumberFormat="1" applyBorder="1" applyAlignment="1" applyProtection="1">
      <alignment horizontal="right" vertical="center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right" vertical="center"/>
      <protection locked="0"/>
    </xf>
    <xf numFmtId="20" fontId="0" fillId="0" borderId="23" xfId="0" applyNumberFormat="1" applyBorder="1" applyAlignment="1" applyProtection="1">
      <alignment horizontal="right" vertical="center"/>
    </xf>
    <xf numFmtId="20" fontId="0" fillId="0" borderId="24" xfId="0" applyNumberFormat="1" applyBorder="1" applyAlignment="1" applyProtection="1">
      <alignment horizontal="right" vertical="center"/>
    </xf>
    <xf numFmtId="0" fontId="0" fillId="0" borderId="25" xfId="0" applyBorder="1" applyAlignment="1" applyProtection="1">
      <alignment horizontal="right" vertical="center"/>
      <protection locked="0"/>
    </xf>
    <xf numFmtId="0" fontId="0" fillId="0" borderId="24" xfId="0" applyBorder="1" applyProtection="1">
      <alignment vertical="center"/>
      <protection locked="0"/>
    </xf>
    <xf numFmtId="0" fontId="2" fillId="0" borderId="0" xfId="0" applyFont="1" applyAlignment="1">
      <alignment horizontal="left" vertical="center"/>
    </xf>
    <xf numFmtId="0" fontId="0" fillId="0" borderId="17" xfId="0" applyBorder="1" applyAlignment="1" applyProtection="1">
      <alignment vertical="center" wrapText="1"/>
      <protection locked="0"/>
    </xf>
    <xf numFmtId="0" fontId="0" fillId="0" borderId="22" xfId="0" applyBorder="1" applyAlignment="1" applyProtection="1">
      <alignment vertical="center" wrapText="1"/>
      <protection locked="0"/>
    </xf>
    <xf numFmtId="0" fontId="0" fillId="0" borderId="27" xfId="0" applyBorder="1" applyAlignment="1" applyProtection="1">
      <alignment vertical="center" wrapText="1"/>
      <protection locked="0"/>
    </xf>
    <xf numFmtId="177" fontId="0" fillId="0" borderId="22" xfId="0" applyNumberFormat="1" applyBorder="1" applyProtection="1">
      <alignment vertical="center"/>
      <protection locked="0"/>
    </xf>
    <xf numFmtId="177" fontId="0" fillId="0" borderId="35" xfId="0" applyNumberFormat="1" applyBorder="1" applyProtection="1">
      <alignment vertical="center"/>
      <protection locked="0"/>
    </xf>
    <xf numFmtId="177" fontId="3" fillId="2" borderId="36" xfId="0" applyNumberFormat="1" applyFont="1" applyFill="1" applyBorder="1">
      <alignment vertical="center"/>
    </xf>
    <xf numFmtId="0" fontId="0" fillId="0" borderId="14" xfId="0" applyBorder="1" applyAlignment="1" applyProtection="1">
      <alignment horizontal="center" vertical="center"/>
    </xf>
    <xf numFmtId="0" fontId="0" fillId="0" borderId="19" xfId="0" applyBorder="1" applyAlignment="1" applyProtection="1">
      <alignment horizontal="center" vertical="center"/>
    </xf>
    <xf numFmtId="0" fontId="0" fillId="0" borderId="24" xfId="0" applyBorder="1" applyAlignment="1" applyProtection="1">
      <alignment horizontal="center" vertical="center"/>
    </xf>
    <xf numFmtId="0" fontId="2" fillId="0" borderId="56" xfId="0" applyFont="1" applyBorder="1" applyAlignment="1">
      <alignment horizontal="center" vertical="center"/>
    </xf>
    <xf numFmtId="0" fontId="0" fillId="0" borderId="31" xfId="0" applyBorder="1" applyAlignment="1" applyProtection="1">
      <alignment vertical="center" wrapText="1"/>
      <protection locked="0"/>
    </xf>
    <xf numFmtId="20" fontId="0" fillId="0" borderId="40" xfId="0" applyNumberFormat="1" applyBorder="1" applyAlignment="1" applyProtection="1">
      <alignment horizontal="center" vertical="center"/>
      <protection locked="0"/>
    </xf>
    <xf numFmtId="20" fontId="0" fillId="0" borderId="41" xfId="0" applyNumberFormat="1" applyBorder="1" applyAlignment="1" applyProtection="1">
      <alignment horizontal="center" vertical="center"/>
      <protection locked="0"/>
    </xf>
    <xf numFmtId="0" fontId="0" fillId="0" borderId="41" xfId="0" applyBorder="1" applyAlignment="1" applyProtection="1">
      <alignment horizontal="center" vertical="center"/>
      <protection locked="0"/>
    </xf>
    <xf numFmtId="0" fontId="0" fillId="0" borderId="42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vertical="center" wrapText="1"/>
    </xf>
    <xf numFmtId="0" fontId="0" fillId="0" borderId="21" xfId="0" applyBorder="1" applyAlignment="1" applyProtection="1">
      <alignment vertical="center" wrapText="1"/>
    </xf>
    <xf numFmtId="0" fontId="0" fillId="0" borderId="26" xfId="0" applyBorder="1" applyAlignment="1" applyProtection="1">
      <alignment vertical="center" wrapText="1"/>
    </xf>
    <xf numFmtId="0" fontId="0" fillId="0" borderId="30" xfId="0" applyBorder="1" applyAlignment="1" applyProtection="1">
      <alignment horizontal="center" vertical="center" wrapText="1"/>
      <protection locked="0"/>
    </xf>
    <xf numFmtId="0" fontId="0" fillId="0" borderId="18" xfId="0" applyBorder="1" applyAlignment="1" applyProtection="1">
      <alignment horizontal="center" vertical="center" wrapText="1"/>
      <protection locked="0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43" xfId="0" applyBorder="1" applyAlignment="1" applyProtection="1">
      <alignment vertical="center" wrapText="1"/>
    </xf>
    <xf numFmtId="0" fontId="0" fillId="0" borderId="37" xfId="0" applyBorder="1" applyAlignment="1" applyProtection="1">
      <alignment vertical="center" wrapText="1"/>
    </xf>
    <xf numFmtId="0" fontId="0" fillId="0" borderId="44" xfId="0" applyBorder="1" applyAlignment="1" applyProtection="1">
      <alignment vertical="center" wrapText="1"/>
    </xf>
    <xf numFmtId="0" fontId="2" fillId="0" borderId="0" xfId="0" applyFont="1" applyAlignment="1">
      <alignment vertical="center"/>
    </xf>
    <xf numFmtId="0" fontId="0" fillId="0" borderId="58" xfId="0" applyBorder="1" applyAlignment="1" applyProtection="1">
      <alignment vertical="center" wrapText="1"/>
    </xf>
    <xf numFmtId="0" fontId="2" fillId="0" borderId="0" xfId="0" applyFont="1" applyAlignment="1">
      <alignment horizontal="left" vertical="center"/>
    </xf>
    <xf numFmtId="177" fontId="0" fillId="0" borderId="31" xfId="0" applyNumberFormat="1" applyBorder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10" fillId="0" borderId="0" xfId="0" applyFont="1" applyFill="1">
      <alignment vertical="center"/>
    </xf>
    <xf numFmtId="0" fontId="8" fillId="0" borderId="0" xfId="0" applyFont="1" applyFill="1" applyProtection="1">
      <alignment vertical="center"/>
    </xf>
    <xf numFmtId="0" fontId="9" fillId="0" borderId="0" xfId="0" applyFont="1" applyFill="1" applyProtection="1">
      <alignment vertical="center"/>
      <protection hidden="1"/>
    </xf>
    <xf numFmtId="0" fontId="9" fillId="0" borderId="0" xfId="0" applyFont="1" applyFill="1" applyProtection="1">
      <alignment vertical="center"/>
    </xf>
    <xf numFmtId="0" fontId="9" fillId="0" borderId="0" xfId="0" applyFont="1" applyFill="1">
      <alignment vertical="center"/>
    </xf>
    <xf numFmtId="0" fontId="11" fillId="0" borderId="0" xfId="0" applyFont="1" applyAlignment="1">
      <alignment horizontal="left" vertical="center"/>
    </xf>
    <xf numFmtId="0" fontId="0" fillId="0" borderId="0" xfId="0" applyAlignment="1">
      <alignment vertical="center" wrapText="1"/>
    </xf>
    <xf numFmtId="20" fontId="0" fillId="0" borderId="0" xfId="0" applyNumberFormat="1">
      <alignment vertical="center"/>
    </xf>
    <xf numFmtId="0" fontId="0" fillId="0" borderId="43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2" fillId="0" borderId="60" xfId="0" applyFon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20" fontId="0" fillId="0" borderId="31" xfId="0" applyNumberFormat="1" applyBorder="1" applyProtection="1">
      <alignment vertical="center"/>
      <protection locked="0"/>
    </xf>
    <xf numFmtId="0" fontId="0" fillId="0" borderId="30" xfId="0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2" fillId="0" borderId="7" xfId="0" applyFont="1" applyBorder="1" applyAlignment="1" applyProtection="1">
      <alignment horizontal="center" vertical="center"/>
    </xf>
    <xf numFmtId="0" fontId="2" fillId="0" borderId="8" xfId="0" applyFont="1" applyBorder="1" applyAlignment="1" applyProtection="1">
      <alignment horizontal="center" vertical="center"/>
    </xf>
    <xf numFmtId="0" fontId="2" fillId="0" borderId="11" xfId="0" applyFont="1" applyBorder="1" applyAlignment="1" applyProtection="1">
      <alignment horizontal="center" vertical="center"/>
    </xf>
    <xf numFmtId="0" fontId="2" fillId="0" borderId="9" xfId="0" applyFont="1" applyBorder="1" applyAlignment="1" applyProtection="1">
      <alignment horizontal="center" vertical="center"/>
    </xf>
    <xf numFmtId="0" fontId="2" fillId="0" borderId="10" xfId="0" applyFont="1" applyBorder="1" applyAlignment="1" applyProtection="1">
      <alignment horizontal="center" vertical="center"/>
    </xf>
    <xf numFmtId="0" fontId="2" fillId="0" borderId="1" xfId="0" applyFont="1" applyBorder="1" applyAlignment="1" applyProtection="1">
      <alignment horizontal="center" vertical="center" wrapText="1"/>
    </xf>
    <xf numFmtId="0" fontId="2" fillId="0" borderId="3" xfId="0" applyFont="1" applyBorder="1" applyAlignment="1" applyProtection="1">
      <alignment horizontal="center" vertical="center" wrapText="1"/>
    </xf>
    <xf numFmtId="0" fontId="2" fillId="0" borderId="2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28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8" xfId="0" applyFont="1" applyBorder="1" applyAlignment="1" applyProtection="1">
      <alignment horizontal="center" vertical="center"/>
    </xf>
    <xf numFmtId="0" fontId="2" fillId="0" borderId="39" xfId="0" applyFont="1" applyBorder="1" applyAlignment="1" applyProtection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/>
    </xf>
    <xf numFmtId="0" fontId="2" fillId="0" borderId="46" xfId="0" applyFont="1" applyBorder="1" applyAlignment="1">
      <alignment horizontal="center" vertical="center"/>
    </xf>
    <xf numFmtId="0" fontId="6" fillId="4" borderId="51" xfId="0" applyFont="1" applyFill="1" applyBorder="1" applyAlignment="1">
      <alignment horizontal="center" vertical="center"/>
    </xf>
    <xf numFmtId="0" fontId="6" fillId="4" borderId="52" xfId="0" applyFont="1" applyFill="1" applyBorder="1" applyAlignment="1">
      <alignment horizontal="center" vertical="center"/>
    </xf>
    <xf numFmtId="0" fontId="6" fillId="4" borderId="53" xfId="0" applyFont="1" applyFill="1" applyBorder="1" applyAlignment="1">
      <alignment horizontal="center" vertical="center"/>
    </xf>
    <xf numFmtId="176" fontId="5" fillId="3" borderId="47" xfId="0" applyNumberFormat="1" applyFont="1" applyFill="1" applyBorder="1" applyAlignment="1" applyProtection="1">
      <alignment horizontal="center" vertical="center"/>
      <protection locked="0"/>
    </xf>
    <xf numFmtId="176" fontId="5" fillId="3" borderId="50" xfId="0" applyNumberFormat="1" applyFont="1" applyFill="1" applyBorder="1" applyAlignment="1" applyProtection="1">
      <alignment horizontal="center" vertical="center"/>
      <protection locked="0"/>
    </xf>
    <xf numFmtId="0" fontId="4" fillId="4" borderId="54" xfId="0" applyFont="1" applyFill="1" applyBorder="1" applyAlignment="1">
      <alignment horizontal="center" vertical="center" wrapText="1"/>
    </xf>
    <xf numFmtId="0" fontId="4" fillId="4" borderId="48" xfId="0" applyFont="1" applyFill="1" applyBorder="1" applyAlignment="1">
      <alignment horizontal="center" vertical="center" wrapText="1"/>
    </xf>
    <xf numFmtId="0" fontId="4" fillId="4" borderId="55" xfId="0" applyFont="1" applyFill="1" applyBorder="1" applyAlignment="1">
      <alignment horizontal="center" vertical="center" wrapText="1"/>
    </xf>
    <xf numFmtId="0" fontId="4" fillId="4" borderId="49" xfId="0" applyFont="1" applyFill="1" applyBorder="1" applyAlignment="1">
      <alignment horizontal="center" vertical="center" wrapText="1"/>
    </xf>
    <xf numFmtId="0" fontId="2" fillId="0" borderId="57" xfId="0" applyFont="1" applyBorder="1" applyAlignment="1">
      <alignment horizontal="center" vertical="center"/>
    </xf>
    <xf numFmtId="0" fontId="2" fillId="0" borderId="59" xfId="0" applyFont="1" applyBorder="1" applyAlignment="1">
      <alignment horizontal="center" vertical="center"/>
    </xf>
    <xf numFmtId="0" fontId="12" fillId="0" borderId="0" xfId="0" applyFont="1" applyAlignment="1">
      <alignment horizontal="left" vertical="center"/>
    </xf>
  </cellXfs>
  <cellStyles count="1">
    <cellStyle name="標準" xfId="0" builtinId="0"/>
  </cellStyles>
  <dxfs count="12">
    <dxf>
      <numFmt numFmtId="25" formatCode="h:mm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 style="dotted">
          <color auto="1"/>
        </bottom>
        <vertical/>
        <horizontal/>
      </border>
    </dxf>
    <dxf>
      <border outline="0">
        <left style="medium">
          <color auto="1"/>
        </left>
        <right style="thin">
          <color auto="1"/>
        </right>
        <top style="medium">
          <color auto="1"/>
        </top>
        <bottom style="medium">
          <color auto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double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alignment horizontal="center" vertical="center" textRotation="0" wrapText="0" indent="0" justifyLastLine="0" shrinkToFit="0" readingOrder="0"/>
    </dxf>
    <dxf>
      <font>
        <b/>
        <i val="0"/>
      </font>
      <fill>
        <patternFill>
          <bgColor theme="5" tint="0.59996337778862885"/>
        </patternFill>
      </fill>
    </dxf>
    <dxf>
      <font>
        <color rgb="FFFF0000"/>
      </font>
    </dxf>
    <dxf>
      <font>
        <color theme="8" tint="0.39994506668294322"/>
      </font>
    </dxf>
    <dxf>
      <font>
        <color rgb="FFFFC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</xdr:row>
          <xdr:rowOff>28575</xdr:rowOff>
        </xdr:from>
        <xdr:to>
          <xdr:col>1</xdr:col>
          <xdr:colOff>457200</xdr:colOff>
          <xdr:row>3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時計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</xdr:row>
          <xdr:rowOff>28575</xdr:rowOff>
        </xdr:from>
        <xdr:to>
          <xdr:col>2</xdr:col>
          <xdr:colOff>457200</xdr:colOff>
          <xdr:row>3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時計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6</xdr:row>
      <xdr:rowOff>0</xdr:rowOff>
    </xdr:from>
    <xdr:to>
      <xdr:col>20</xdr:col>
      <xdr:colOff>152042</xdr:colOff>
      <xdr:row>17</xdr:row>
      <xdr:rowOff>85479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95350" y="1028700"/>
          <a:ext cx="2866667" cy="19714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25</xdr:row>
      <xdr:rowOff>0</xdr:rowOff>
    </xdr:from>
    <xdr:to>
      <xdr:col>19</xdr:col>
      <xdr:colOff>66350</xdr:colOff>
      <xdr:row>31</xdr:row>
      <xdr:rowOff>133205</xdr:rowOff>
    </xdr:to>
    <xdr:pic>
      <xdr:nvPicPr>
        <xdr:cNvPr id="3" name="図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95350" y="3943350"/>
          <a:ext cx="2600000" cy="116190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37</xdr:row>
      <xdr:rowOff>0</xdr:rowOff>
    </xdr:from>
    <xdr:to>
      <xdr:col>20</xdr:col>
      <xdr:colOff>18708</xdr:colOff>
      <xdr:row>43</xdr:row>
      <xdr:rowOff>152252</xdr:rowOff>
    </xdr:to>
    <xdr:pic>
      <xdr:nvPicPr>
        <xdr:cNvPr id="5" name="図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95350" y="6000750"/>
          <a:ext cx="2733333" cy="1180952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0</xdr:rowOff>
    </xdr:from>
    <xdr:to>
      <xdr:col>25</xdr:col>
      <xdr:colOff>123357</xdr:colOff>
      <xdr:row>56</xdr:row>
      <xdr:rowOff>95067</xdr:rowOff>
    </xdr:to>
    <xdr:pic>
      <xdr:nvPicPr>
        <xdr:cNvPr id="6" name="図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350" y="7886700"/>
          <a:ext cx="3742857" cy="146666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63</xdr:row>
      <xdr:rowOff>0</xdr:rowOff>
    </xdr:from>
    <xdr:to>
      <xdr:col>23</xdr:col>
      <xdr:colOff>37688</xdr:colOff>
      <xdr:row>72</xdr:row>
      <xdr:rowOff>47426</xdr:rowOff>
    </xdr:to>
    <xdr:pic>
      <xdr:nvPicPr>
        <xdr:cNvPr id="7" name="図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95350" y="10458450"/>
          <a:ext cx="3295238" cy="159047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3" name="テーブル3" displayName="テーブル3" ref="B4:B60" totalsRowShown="0" headerRowDxfId="7" dataDxfId="5" headerRowBorderDxfId="6" tableBorderDxfId="4">
  <autoFilter ref="B4:B60"/>
  <tableColumns count="1">
    <tableColumn id="1" name="作業ID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テーブル1" displayName="テーブル1" ref="B2:B5" totalsRowShown="0" headerRowDxfId="2">
  <autoFilter ref="B2:B5"/>
  <tableColumns count="1">
    <tableColumn id="1" name="完了状態_x000a_(完・続・未)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テーブル2" displayName="テーブル2" ref="D2:D242" totalsRowShown="0" headerRowDxfId="1">
  <autoFilter ref="D2:D242"/>
  <tableColumns count="1">
    <tableColumn id="1" name="作業インターバル時間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Q95"/>
  <sheetViews>
    <sheetView showGridLines="0" tabSelected="1" zoomScale="85" zoomScaleNormal="85" workbookViewId="0">
      <selection activeCell="F2" sqref="F2"/>
    </sheetView>
  </sheetViews>
  <sheetFormatPr defaultRowHeight="13.5"/>
  <cols>
    <col min="1" max="1" width="2.25" customWidth="1"/>
    <col min="2" max="3" width="6.5" customWidth="1"/>
    <col min="4" max="4" width="15.5" customWidth="1"/>
    <col min="5" max="5" width="7.875" bestFit="1" customWidth="1"/>
    <col min="6" max="6" width="30.25" customWidth="1"/>
    <col min="7" max="7" width="11.25" customWidth="1"/>
    <col min="8" max="8" width="6" customWidth="1"/>
    <col min="9" max="9" width="21.375" customWidth="1"/>
    <col min="11" max="11" width="7.625" customWidth="1"/>
    <col min="12" max="12" width="30.25" customWidth="1"/>
    <col min="13" max="13" width="17.125" bestFit="1" customWidth="1"/>
    <col min="16" max="16" width="30.25" customWidth="1"/>
  </cols>
  <sheetData>
    <row r="1" spans="2:17" ht="14.25" thickBot="1"/>
    <row r="2" spans="2:17" ht="14.25" thickBot="1">
      <c r="B2" s="83" t="s">
        <v>19</v>
      </c>
      <c r="C2" s="84"/>
      <c r="D2" s="85"/>
    </row>
    <row r="3" spans="2:17">
      <c r="B3" s="88"/>
      <c r="C3" s="90"/>
      <c r="D3" s="86">
        <v>0.47652777777777783</v>
      </c>
    </row>
    <row r="4" spans="2:17" ht="15" customHeight="1" thickBot="1">
      <c r="B4" s="89"/>
      <c r="C4" s="91"/>
      <c r="D4" s="87"/>
    </row>
    <row r="7" spans="2:17">
      <c r="B7" s="72" t="s">
        <v>0</v>
      </c>
      <c r="C7" s="72"/>
      <c r="D7" s="72"/>
      <c r="E7" s="17"/>
      <c r="K7" s="72" t="s">
        <v>16</v>
      </c>
      <c r="L7" s="72"/>
      <c r="O7" s="72" t="s">
        <v>77</v>
      </c>
      <c r="P7" s="72"/>
    </row>
    <row r="8" spans="2:17" ht="14.25" thickBot="1"/>
    <row r="9" spans="2:17" ht="27" customHeight="1">
      <c r="B9" s="63" t="s">
        <v>1</v>
      </c>
      <c r="C9" s="64"/>
      <c r="D9" s="65"/>
      <c r="E9" s="77" t="s">
        <v>17</v>
      </c>
      <c r="F9" s="66" t="s">
        <v>4</v>
      </c>
      <c r="G9" s="68" t="s">
        <v>10</v>
      </c>
      <c r="H9" s="68" t="s">
        <v>11</v>
      </c>
      <c r="I9" s="70" t="s">
        <v>113</v>
      </c>
      <c r="K9" s="73" t="s">
        <v>17</v>
      </c>
      <c r="L9" s="79" t="s">
        <v>14</v>
      </c>
      <c r="M9" s="75" t="s">
        <v>15</v>
      </c>
      <c r="O9" s="73" t="s">
        <v>17</v>
      </c>
      <c r="P9" s="92" t="s">
        <v>14</v>
      </c>
      <c r="Q9" s="75" t="s">
        <v>78</v>
      </c>
    </row>
    <row r="10" spans="2:17" ht="14.25" thickBot="1">
      <c r="B10" s="1" t="s">
        <v>2</v>
      </c>
      <c r="C10" s="2" t="s">
        <v>3</v>
      </c>
      <c r="D10" s="3" t="s">
        <v>5</v>
      </c>
      <c r="E10" s="78"/>
      <c r="F10" s="67"/>
      <c r="G10" s="69"/>
      <c r="H10" s="69"/>
      <c r="I10" s="71"/>
      <c r="K10" s="74"/>
      <c r="L10" s="80"/>
      <c r="M10" s="76"/>
      <c r="O10" s="74"/>
      <c r="P10" s="93"/>
      <c r="Q10" s="76"/>
    </row>
    <row r="11" spans="2:17" ht="14.25" thickTop="1">
      <c r="B11" s="4">
        <v>0.375</v>
      </c>
      <c r="C11" s="5">
        <f>IF(ISBLANK(D11), "-", B11+D11)</f>
        <v>0.38194444444444442</v>
      </c>
      <c r="D11" s="6">
        <v>6.9444444444444441E-3</v>
      </c>
      <c r="E11" s="29" t="s">
        <v>20</v>
      </c>
      <c r="F11" s="33" t="str">
        <f>IF(ISBLANK(E11), "", VLOOKUP(E11, 作業リスト!$B$5:$C$60, 2, FALSE))</f>
        <v>調整時間</v>
      </c>
      <c r="G11" s="7" t="s">
        <v>7</v>
      </c>
      <c r="H11" s="24" t="str">
        <f>IF(AND(B11 &lt;= $D$3, $D$3 &lt; C11), "←", "")</f>
        <v/>
      </c>
      <c r="I11" s="18"/>
      <c r="K11" s="36" t="s">
        <v>97</v>
      </c>
      <c r="L11" s="39" t="str">
        <f>IF(ISBLANK(K11), "", VLOOKUP(K11, 作業リスト!$B$5:$C$60, 2, FALSE))</f>
        <v>調整時間</v>
      </c>
      <c r="M11" s="60">
        <v>6.9444444444444441E-3</v>
      </c>
      <c r="O11" s="61" t="str">
        <f>IF(ISBLANK(作業リスト!$C5), "", 作業リスト!$B5)</f>
        <v>W001</v>
      </c>
      <c r="P11" s="43" t="str">
        <f>IF(O11="", "", VLOOKUP(O11, 作業リスト!$B$5:$C$60, 2, FALSE))</f>
        <v>調整時間</v>
      </c>
      <c r="Q11" s="45">
        <f>IF(O11="", "", SUMIF($E$11:$E$55, O11, $D$11:$D$55))</f>
        <v>6.9444444444444441E-3</v>
      </c>
    </row>
    <row r="12" spans="2:17">
      <c r="B12" s="8">
        <f>IF(ISBLANK(D11), "-", B11+D11)</f>
        <v>0.38194444444444442</v>
      </c>
      <c r="C12" s="9">
        <f>IF(ISBLANK(D12), "-", B12+D12)</f>
        <v>0.47916666666666663</v>
      </c>
      <c r="D12" s="10">
        <v>9.7222222222222196E-2</v>
      </c>
      <c r="E12" s="30" t="s">
        <v>21</v>
      </c>
      <c r="F12" s="34" t="str">
        <f>IF(ISBLANK(E12), "", VLOOKUP(E12, 作業リスト!$B$5:$C$60, 2, FALSE))</f>
        <v>計画管理ツールUpdate(Git)</v>
      </c>
      <c r="G12" s="11" t="s">
        <v>7</v>
      </c>
      <c r="H12" s="25" t="str">
        <f t="shared" ref="H12:H55" si="0">IF(AND(B12 &lt;= $D$3, $D$3 &lt; C12), "←", "")</f>
        <v>←</v>
      </c>
      <c r="I12" s="19"/>
      <c r="K12" s="37" t="s">
        <v>21</v>
      </c>
      <c r="L12" s="40" t="str">
        <f>IF(ISBLANK(K12), "", VLOOKUP(K12, 作業リスト!$B$5:$C$60, 2, FALSE))</f>
        <v>計画管理ツールUpdate(Git)</v>
      </c>
      <c r="M12" s="21">
        <v>2.0833333333333332E-2</v>
      </c>
      <c r="O12" s="61" t="str">
        <f>IF(ISBLANK(作業リスト!$C6), "", 作業リスト!$B6)</f>
        <v>W002</v>
      </c>
      <c r="P12" s="43" t="str">
        <f>IF(O12="", "", VLOOKUP(O12, 作業リスト!$B$5:$C$60, 2, FALSE))</f>
        <v>計画管理ツールUpdate(Git)</v>
      </c>
      <c r="Q12" s="45">
        <f t="shared" ref="Q12:Q66" si="1">IF(O12="", "", SUMIF($E$11:$E$55, O12, $D$11:$D$55))</f>
        <v>9.7222222222222196E-2</v>
      </c>
    </row>
    <row r="13" spans="2:17" ht="27">
      <c r="B13" s="8">
        <f t="shared" ref="B13:B55" si="2">IF(ISBLANK(D12), "-", B12+D12)</f>
        <v>0.47916666666666663</v>
      </c>
      <c r="C13" s="9">
        <f t="shared" ref="C13:C55" si="3">IF(ISBLANK(D13), "-", B13+D13)</f>
        <v>0.49999999999999994</v>
      </c>
      <c r="D13" s="10">
        <v>2.0833333333333301E-2</v>
      </c>
      <c r="E13" s="30" t="s">
        <v>22</v>
      </c>
      <c r="F13" s="34" t="str">
        <f>IF(ISBLANK(E13), "", VLOOKUP(E13, 作業リスト!$B$5:$C$60, 2, FALSE))</f>
        <v>アルゴリズム確認、フローチャート作成</v>
      </c>
      <c r="G13" s="11" t="s">
        <v>7</v>
      </c>
      <c r="H13" s="25" t="str">
        <f t="shared" si="0"/>
        <v/>
      </c>
      <c r="I13" s="19"/>
      <c r="K13" s="37" t="s">
        <v>22</v>
      </c>
      <c r="L13" s="40" t="str">
        <f>IF(ISBLANK(K13), "", VLOOKUP(K13, 作業リスト!$B$5:$C$60, 2, FALSE))</f>
        <v>アルゴリズム確認、フローチャート作成</v>
      </c>
      <c r="M13" s="21">
        <v>9.7222222222222224E-2</v>
      </c>
      <c r="O13" s="61" t="str">
        <f>IF(ISBLANK(作業リスト!$C7), "", 作業リスト!$B7)</f>
        <v>W003</v>
      </c>
      <c r="P13" s="43" t="str">
        <f>IF(O13="", "", VLOOKUP(O13, 作業リスト!$B$5:$C$60, 2, FALSE))</f>
        <v>アルゴリズム確認、フローチャート作成</v>
      </c>
      <c r="Q13" s="45">
        <f t="shared" si="1"/>
        <v>2.0833333333333301E-2</v>
      </c>
    </row>
    <row r="14" spans="2:17">
      <c r="B14" s="8">
        <f t="shared" si="2"/>
        <v>0.49999999999999994</v>
      </c>
      <c r="C14" s="9">
        <f t="shared" si="3"/>
        <v>0.54166666666666663</v>
      </c>
      <c r="D14" s="10">
        <v>4.1666666666666664E-2</v>
      </c>
      <c r="E14" s="30" t="s">
        <v>70</v>
      </c>
      <c r="F14" s="34" t="str">
        <f>IF(ISBLANK(E14), "", VLOOKUP(E14, 作業リスト!$B$5:$C$60, 2, FALSE))</f>
        <v>昼休憩</v>
      </c>
      <c r="G14" s="11" t="s">
        <v>99</v>
      </c>
      <c r="H14" s="25" t="str">
        <f t="shared" si="0"/>
        <v/>
      </c>
      <c r="I14" s="19"/>
      <c r="K14" s="37" t="s">
        <v>98</v>
      </c>
      <c r="L14" s="40" t="str">
        <f>IF(ISBLANK(K14), "", VLOOKUP(K14, 作業リスト!$B$5:$C$60, 2, FALSE))</f>
        <v>昼休憩</v>
      </c>
      <c r="M14" s="21">
        <v>4.1666666666666664E-2</v>
      </c>
      <c r="O14" s="61" t="str">
        <f>IF(ISBLANK(作業リスト!$C8), "", 作業リスト!$B8)</f>
        <v>W004</v>
      </c>
      <c r="P14" s="43" t="str">
        <f>IF(O14="", "", VLOOKUP(O14, 作業リスト!$B$5:$C$60, 2, FALSE))</f>
        <v>フローチャート作成</v>
      </c>
      <c r="Q14" s="45">
        <f t="shared" si="1"/>
        <v>0</v>
      </c>
    </row>
    <row r="15" spans="2:17">
      <c r="B15" s="8">
        <f t="shared" si="2"/>
        <v>0.54166666666666663</v>
      </c>
      <c r="C15" s="9">
        <f t="shared" si="3"/>
        <v>0.54861111111111105</v>
      </c>
      <c r="D15" s="10">
        <v>6.9444444444444441E-3</v>
      </c>
      <c r="E15" s="30" t="s">
        <v>25</v>
      </c>
      <c r="F15" s="34" t="str">
        <f>IF(ISBLANK(E15), "", VLOOKUP(E15, 作業リスト!$B$5:$C$60, 2, FALSE))</f>
        <v>進行状況確認</v>
      </c>
      <c r="G15" s="11" t="s">
        <v>7</v>
      </c>
      <c r="H15" s="25" t="str">
        <f t="shared" si="0"/>
        <v/>
      </c>
      <c r="I15" s="19"/>
      <c r="K15" s="37" t="s">
        <v>106</v>
      </c>
      <c r="L15" s="40" t="str">
        <f>IF(ISBLANK(K15), "", VLOOKUP(K15, 作業リスト!$B$5:$C$60, 2, FALSE))</f>
        <v>進行状況確認</v>
      </c>
      <c r="M15" s="21">
        <v>6.9444444444444441E-3</v>
      </c>
      <c r="O15" s="61" t="str">
        <f>IF(ISBLANK(作業リスト!$C9), "", 作業リスト!$B9)</f>
        <v>W005</v>
      </c>
      <c r="P15" s="43" t="str">
        <f>IF(O15="", "", VLOOKUP(O15, 作業リスト!$B$5:$C$60, 2, FALSE))</f>
        <v>コーディング</v>
      </c>
      <c r="Q15" s="45">
        <f t="shared" si="1"/>
        <v>0.16666666666666666</v>
      </c>
    </row>
    <row r="16" spans="2:17">
      <c r="B16" s="8">
        <f t="shared" si="2"/>
        <v>0.54861111111111105</v>
      </c>
      <c r="C16" s="9">
        <f t="shared" si="3"/>
        <v>0.61805555555555547</v>
      </c>
      <c r="D16" s="10">
        <v>6.9444444444444434E-2</v>
      </c>
      <c r="E16" s="30" t="s">
        <v>24</v>
      </c>
      <c r="F16" s="34" t="str">
        <f>IF(ISBLANK(E16), "", VLOOKUP(E16, 作業リスト!$B$5:$C$60, 2, FALSE))</f>
        <v>コーディング</v>
      </c>
      <c r="G16" s="11" t="s">
        <v>7</v>
      </c>
      <c r="H16" s="25" t="str">
        <f t="shared" si="0"/>
        <v/>
      </c>
      <c r="I16" s="19"/>
      <c r="K16" s="37" t="s">
        <v>107</v>
      </c>
      <c r="L16" s="40" t="str">
        <f>IF(ISBLANK(K16), "", VLOOKUP(K16, 作業リスト!$B$5:$C$60, 2, FALSE))</f>
        <v>コーディング</v>
      </c>
      <c r="M16" s="21">
        <v>6.9444444444444434E-2</v>
      </c>
      <c r="O16" s="61" t="str">
        <f>IF(ISBLANK(作業リスト!$C10), "", 作業リスト!$B10)</f>
        <v>W006</v>
      </c>
      <c r="P16" s="43" t="str">
        <f>IF(O16="", "", VLOOKUP(O16, 作業リスト!$B$5:$C$60, 2, FALSE))</f>
        <v>進行状況確認</v>
      </c>
      <c r="Q16" s="45">
        <f t="shared" si="1"/>
        <v>6.9444444444444441E-3</v>
      </c>
    </row>
    <row r="17" spans="2:17">
      <c r="B17" s="8">
        <f t="shared" si="2"/>
        <v>0.61805555555555547</v>
      </c>
      <c r="C17" s="9">
        <f t="shared" si="3"/>
        <v>0.62499999999999989</v>
      </c>
      <c r="D17" s="10">
        <v>6.9444444444444441E-3</v>
      </c>
      <c r="E17" s="30" t="s">
        <v>26</v>
      </c>
      <c r="F17" s="34" t="str">
        <f>IF(ISBLANK(E17), "", VLOOKUP(E17, 作業リスト!$B$5:$C$60, 2, FALSE))</f>
        <v>進行状況確認、外部レビュー</v>
      </c>
      <c r="G17" s="11" t="s">
        <v>99</v>
      </c>
      <c r="H17" s="25" t="str">
        <f t="shared" si="0"/>
        <v/>
      </c>
      <c r="I17" s="19"/>
      <c r="K17" s="37" t="s">
        <v>108</v>
      </c>
      <c r="L17" s="40" t="str">
        <f>IF(ISBLANK(K17), "", VLOOKUP(K17, 作業リスト!$B$5:$C$60, 2, FALSE))</f>
        <v>進行状況確認、外部レビュー</v>
      </c>
      <c r="M17" s="21">
        <v>6.9444444444444441E-3</v>
      </c>
      <c r="O17" s="61" t="str">
        <f>IF(ISBLANK(作業リスト!$C11), "", 作業リスト!$B11)</f>
        <v>W007</v>
      </c>
      <c r="P17" s="43" t="str">
        <f>IF(O17="", "", VLOOKUP(O17, 作業リスト!$B$5:$C$60, 2, FALSE))</f>
        <v>進行状況確認、外部レビュー</v>
      </c>
      <c r="Q17" s="45">
        <f t="shared" si="1"/>
        <v>6.9444444444444441E-3</v>
      </c>
    </row>
    <row r="18" spans="2:17">
      <c r="B18" s="8">
        <f t="shared" si="2"/>
        <v>0.62499999999999989</v>
      </c>
      <c r="C18" s="9">
        <f t="shared" si="3"/>
        <v>0.70138888888888884</v>
      </c>
      <c r="D18" s="10">
        <v>7.6388888888888895E-2</v>
      </c>
      <c r="E18" s="30" t="s">
        <v>24</v>
      </c>
      <c r="F18" s="34" t="str">
        <f>IF(ISBLANK(E18), "", VLOOKUP(E18, 作業リスト!$B$5:$C$60, 2, FALSE))</f>
        <v>コーディング</v>
      </c>
      <c r="G18" s="11" t="s">
        <v>99</v>
      </c>
      <c r="H18" s="25" t="str">
        <f t="shared" si="0"/>
        <v/>
      </c>
      <c r="I18" s="19"/>
      <c r="K18" s="37" t="s">
        <v>109</v>
      </c>
      <c r="L18" s="40" t="str">
        <f>IF(ISBLANK(K18), "", VLOOKUP(K18, 作業リスト!$B$5:$C$60, 2, FALSE))</f>
        <v>コーディング</v>
      </c>
      <c r="M18" s="21">
        <v>7.6388888888888895E-2</v>
      </c>
      <c r="O18" s="61" t="str">
        <f>IF(ISBLANK(作業リスト!$C12), "", 作業リスト!$B12)</f>
        <v>W008</v>
      </c>
      <c r="P18" s="43" t="str">
        <f>IF(O18="", "", VLOOKUP(O18, 作業リスト!$B$5:$C$60, 2, FALSE))</f>
        <v>外部レビュー</v>
      </c>
      <c r="Q18" s="45">
        <f t="shared" si="1"/>
        <v>6.9444444444444441E-3</v>
      </c>
    </row>
    <row r="19" spans="2:17">
      <c r="B19" s="8">
        <f t="shared" si="2"/>
        <v>0.70138888888888884</v>
      </c>
      <c r="C19" s="9">
        <f t="shared" si="3"/>
        <v>0.70833333333333326</v>
      </c>
      <c r="D19" s="10">
        <v>6.9444444444444441E-3</v>
      </c>
      <c r="E19" s="30" t="s">
        <v>27</v>
      </c>
      <c r="F19" s="34" t="str">
        <f>IF(ISBLANK(E19), "", VLOOKUP(E19, 作業リスト!$B$5:$C$60, 2, FALSE))</f>
        <v>外部レビュー</v>
      </c>
      <c r="G19" s="11" t="s">
        <v>99</v>
      </c>
      <c r="H19" s="25" t="str">
        <f t="shared" si="0"/>
        <v/>
      </c>
      <c r="I19" s="19"/>
      <c r="K19" s="37" t="s">
        <v>110</v>
      </c>
      <c r="L19" s="40" t="str">
        <f>IF(ISBLANK(K19), "", VLOOKUP(K19, 作業リスト!$B$5:$C$60, 2, FALSE))</f>
        <v>外部レビュー</v>
      </c>
      <c r="M19" s="21">
        <v>6.9444444444444441E-3</v>
      </c>
      <c r="O19" s="61" t="str">
        <f>IF(ISBLANK(作業リスト!$C13), "", 作業リスト!$B13)</f>
        <v>W009</v>
      </c>
      <c r="P19" s="43" t="str">
        <f>IF(O19="", "", VLOOKUP(O19, 作業リスト!$B$5:$C$60, 2, FALSE))</f>
        <v>予備、総括、日報</v>
      </c>
      <c r="Q19" s="45">
        <f t="shared" si="1"/>
        <v>2.0833333333333332E-2</v>
      </c>
    </row>
    <row r="20" spans="2:17">
      <c r="B20" s="8">
        <f t="shared" si="2"/>
        <v>0.70833333333333326</v>
      </c>
      <c r="C20" s="9">
        <f t="shared" si="3"/>
        <v>0.72916666666666663</v>
      </c>
      <c r="D20" s="10">
        <v>2.0833333333333332E-2</v>
      </c>
      <c r="E20" s="30" t="s">
        <v>24</v>
      </c>
      <c r="F20" s="34" t="str">
        <f>IF(ISBLANK(E20), "", VLOOKUP(E20, 作業リスト!$B$5:$C$60, 2, FALSE))</f>
        <v>コーディング</v>
      </c>
      <c r="G20" s="11" t="s">
        <v>100</v>
      </c>
      <c r="H20" s="25" t="str">
        <f t="shared" si="0"/>
        <v/>
      </c>
      <c r="I20" s="19"/>
      <c r="K20" s="37" t="s">
        <v>107</v>
      </c>
      <c r="L20" s="40" t="str">
        <f>IF(ISBLANK(K20), "", VLOOKUP(K20, 作業リスト!$B$5:$C$60, 2, FALSE))</f>
        <v>コーディング</v>
      </c>
      <c r="M20" s="21">
        <v>2.0833333333333332E-2</v>
      </c>
      <c r="O20" s="61" t="str">
        <f>IF(ISBLANK(作業リスト!$C14), "", 作業リスト!$B14)</f>
        <v/>
      </c>
      <c r="P20" s="43" t="str">
        <f>IF(O20="", "", VLOOKUP(O20, 作業リスト!$B$5:$C$60, 2, FALSE))</f>
        <v/>
      </c>
      <c r="Q20" s="45" t="str">
        <f t="shared" si="1"/>
        <v/>
      </c>
    </row>
    <row r="21" spans="2:17">
      <c r="B21" s="8">
        <f t="shared" si="2"/>
        <v>0.72916666666666663</v>
      </c>
      <c r="C21" s="9">
        <f t="shared" si="3"/>
        <v>0.75</v>
      </c>
      <c r="D21" s="10">
        <v>2.0833333333333332E-2</v>
      </c>
      <c r="E21" s="30" t="s">
        <v>28</v>
      </c>
      <c r="F21" s="34" t="str">
        <f>IF(ISBLANK(E21), "", VLOOKUP(E21, 作業リスト!$B$5:$C$60, 2, FALSE))</f>
        <v>予備、総括、日報</v>
      </c>
      <c r="G21" s="11" t="s">
        <v>13</v>
      </c>
      <c r="H21" s="25" t="str">
        <f t="shared" si="0"/>
        <v/>
      </c>
      <c r="I21" s="19"/>
      <c r="K21" s="37" t="s">
        <v>111</v>
      </c>
      <c r="L21" s="40" t="str">
        <f>IF(ISBLANK(K21), "", VLOOKUP(K21, 作業リスト!$B$5:$C$60, 2, FALSE))</f>
        <v>予備、総括、日報</v>
      </c>
      <c r="M21" s="21">
        <v>2.0833333333333332E-2</v>
      </c>
      <c r="O21" s="61" t="str">
        <f>IF(ISBLANK(作業リスト!$C15), "", 作業リスト!$B15)</f>
        <v/>
      </c>
      <c r="P21" s="43" t="str">
        <f>IF(O21="", "", VLOOKUP(O21, 作業リスト!$B$5:$C$60, 2, FALSE))</f>
        <v/>
      </c>
      <c r="Q21" s="45" t="str">
        <f t="shared" si="1"/>
        <v/>
      </c>
    </row>
    <row r="22" spans="2:17">
      <c r="B22" s="8">
        <f t="shared" si="2"/>
        <v>0.75</v>
      </c>
      <c r="C22" s="9" t="str">
        <f t="shared" si="3"/>
        <v>-</v>
      </c>
      <c r="D22" s="10"/>
      <c r="E22" s="30" t="s">
        <v>93</v>
      </c>
      <c r="F22" s="34" t="str">
        <f>IF(ISBLANK(E22), "", VLOOKUP(E22, 作業リスト!$B$5:$C$60, 2, FALSE))</f>
        <v>&lt;&lt; -- 終了 -- &gt;&gt;</v>
      </c>
      <c r="G22" s="11" t="s">
        <v>9</v>
      </c>
      <c r="H22" s="25" t="str">
        <f t="shared" si="0"/>
        <v/>
      </c>
      <c r="I22" s="19"/>
      <c r="K22" s="37" t="s">
        <v>93</v>
      </c>
      <c r="L22" s="40" t="str">
        <f>IF(ISBLANK(K22), "", VLOOKUP(K22, 作業リスト!$B$5:$C$60, 2, FALSE))</f>
        <v>&lt;&lt; -- 終了 -- &gt;&gt;</v>
      </c>
      <c r="M22" s="21">
        <v>0</v>
      </c>
      <c r="O22" s="61" t="str">
        <f>IF(ISBLANK(作業リスト!$C16), "", 作業リスト!$B16)</f>
        <v/>
      </c>
      <c r="P22" s="43" t="str">
        <f>IF(O22="", "", VLOOKUP(O22, 作業リスト!$B$5:$C$60, 2, FALSE))</f>
        <v/>
      </c>
      <c r="Q22" s="45" t="str">
        <f t="shared" si="1"/>
        <v/>
      </c>
    </row>
    <row r="23" spans="2:17">
      <c r="B23" s="8" t="str">
        <f t="shared" si="2"/>
        <v>-</v>
      </c>
      <c r="C23" s="9" t="str">
        <f t="shared" si="3"/>
        <v>-</v>
      </c>
      <c r="D23" s="10"/>
      <c r="E23" s="30"/>
      <c r="F23" s="34" t="str">
        <f>IF(ISBLANK(E23), "", VLOOKUP(E23, 作業リスト!$B$5:$C$60, 2, FALSE))</f>
        <v/>
      </c>
      <c r="G23" s="11"/>
      <c r="H23" s="25" t="str">
        <f t="shared" si="0"/>
        <v/>
      </c>
      <c r="I23" s="19"/>
      <c r="K23" s="37"/>
      <c r="L23" s="40" t="str">
        <f>IF(ISBLANK(K23), "", VLOOKUP(K23, 作業リスト!$B$5:$C$60, 2, FALSE))</f>
        <v/>
      </c>
      <c r="M23" s="21"/>
      <c r="O23" s="61" t="str">
        <f>IF(ISBLANK(作業リスト!$C17), "", 作業リスト!$B17)</f>
        <v/>
      </c>
      <c r="P23" s="43" t="str">
        <f>IF(O23="", "", VLOOKUP(O23, 作業リスト!$B$5:$C$60, 2, FALSE))</f>
        <v/>
      </c>
      <c r="Q23" s="45" t="str">
        <f t="shared" si="1"/>
        <v/>
      </c>
    </row>
    <row r="24" spans="2:17">
      <c r="B24" s="8" t="str">
        <f t="shared" si="2"/>
        <v>-</v>
      </c>
      <c r="C24" s="9" t="str">
        <f t="shared" si="3"/>
        <v>-</v>
      </c>
      <c r="D24" s="10"/>
      <c r="E24" s="30"/>
      <c r="F24" s="34" t="str">
        <f>IF(ISBLANK(E24), "", VLOOKUP(E24, 作業リスト!$B$5:$C$60, 2, FALSE))</f>
        <v/>
      </c>
      <c r="G24" s="11"/>
      <c r="H24" s="25" t="str">
        <f t="shared" si="0"/>
        <v/>
      </c>
      <c r="I24" s="19"/>
      <c r="K24" s="37"/>
      <c r="L24" s="40" t="str">
        <f>IF(ISBLANK(K24), "", VLOOKUP(K24, 作業リスト!$B$5:$C$60, 2, FALSE))</f>
        <v/>
      </c>
      <c r="M24" s="21"/>
      <c r="O24" s="61" t="str">
        <f>IF(ISBLANK(作業リスト!$C18), "", 作業リスト!$B18)</f>
        <v/>
      </c>
      <c r="P24" s="43" t="str">
        <f>IF(O24="", "", VLOOKUP(O24, 作業リスト!$B$5:$C$60, 2, FALSE))</f>
        <v/>
      </c>
      <c r="Q24" s="45" t="str">
        <f t="shared" si="1"/>
        <v/>
      </c>
    </row>
    <row r="25" spans="2:17">
      <c r="B25" s="8" t="str">
        <f t="shared" si="2"/>
        <v>-</v>
      </c>
      <c r="C25" s="9" t="str">
        <f t="shared" si="3"/>
        <v>-</v>
      </c>
      <c r="D25" s="12"/>
      <c r="E25" s="31"/>
      <c r="F25" s="34" t="str">
        <f>IF(ISBLANK(E25), "", VLOOKUP(E25, 作業リスト!$B$5:$C$60, 2, FALSE))</f>
        <v/>
      </c>
      <c r="G25" s="11"/>
      <c r="H25" s="25" t="str">
        <f t="shared" si="0"/>
        <v/>
      </c>
      <c r="I25" s="19"/>
      <c r="K25" s="37"/>
      <c r="L25" s="40" t="str">
        <f>IF(ISBLANK(K25), "", VLOOKUP(K25, 作業リスト!$B$5:$C$60, 2, FALSE))</f>
        <v/>
      </c>
      <c r="M25" s="21"/>
      <c r="O25" s="61" t="str">
        <f>IF(ISBLANK(作業リスト!$C19), "", 作業リスト!$B19)</f>
        <v/>
      </c>
      <c r="P25" s="43" t="str">
        <f>IF(O25="", "", VLOOKUP(O25, 作業リスト!$B$5:$C$60, 2, FALSE))</f>
        <v/>
      </c>
      <c r="Q25" s="45" t="str">
        <f t="shared" si="1"/>
        <v/>
      </c>
    </row>
    <row r="26" spans="2:17">
      <c r="B26" s="8" t="str">
        <f t="shared" si="2"/>
        <v>-</v>
      </c>
      <c r="C26" s="9" t="str">
        <f t="shared" si="3"/>
        <v>-</v>
      </c>
      <c r="D26" s="12"/>
      <c r="E26" s="31"/>
      <c r="F26" s="34" t="str">
        <f>IF(ISBLANK(E26), "", VLOOKUP(E26, 作業リスト!$B$5:$C$60, 2, FALSE))</f>
        <v/>
      </c>
      <c r="G26" s="11"/>
      <c r="H26" s="25" t="str">
        <f t="shared" si="0"/>
        <v/>
      </c>
      <c r="I26" s="19"/>
      <c r="K26" s="37"/>
      <c r="L26" s="40" t="str">
        <f>IF(ISBLANK(K26), "", VLOOKUP(K26, 作業リスト!$B$5:$C$60, 2, FALSE))</f>
        <v/>
      </c>
      <c r="M26" s="21"/>
      <c r="O26" s="61" t="str">
        <f>IF(ISBLANK(作業リスト!$C20), "", 作業リスト!$B20)</f>
        <v/>
      </c>
      <c r="P26" s="43" t="str">
        <f>IF(O26="", "", VLOOKUP(O26, 作業リスト!$B$5:$C$60, 2, FALSE))</f>
        <v/>
      </c>
      <c r="Q26" s="45" t="str">
        <f t="shared" si="1"/>
        <v/>
      </c>
    </row>
    <row r="27" spans="2:17">
      <c r="B27" s="8" t="str">
        <f t="shared" si="2"/>
        <v>-</v>
      </c>
      <c r="C27" s="9" t="str">
        <f t="shared" si="3"/>
        <v>-</v>
      </c>
      <c r="D27" s="12"/>
      <c r="E27" s="31"/>
      <c r="F27" s="34" t="str">
        <f>IF(ISBLANK(E27), "", VLOOKUP(E27, 作業リスト!$B$5:$C$60, 2, FALSE))</f>
        <v/>
      </c>
      <c r="G27" s="11"/>
      <c r="H27" s="25" t="str">
        <f t="shared" si="0"/>
        <v/>
      </c>
      <c r="I27" s="19"/>
      <c r="K27" s="37"/>
      <c r="L27" s="40" t="str">
        <f>IF(ISBLANK(K27), "", VLOOKUP(K27, 作業リスト!$B$5:$C$60, 2, FALSE))</f>
        <v/>
      </c>
      <c r="M27" s="21"/>
      <c r="O27" s="61" t="str">
        <f>IF(ISBLANK(作業リスト!$C21), "", 作業リスト!$B21)</f>
        <v/>
      </c>
      <c r="P27" s="43" t="str">
        <f>IF(O27="", "", VLOOKUP(O27, 作業リスト!$B$5:$C$60, 2, FALSE))</f>
        <v/>
      </c>
      <c r="Q27" s="45" t="str">
        <f t="shared" si="1"/>
        <v/>
      </c>
    </row>
    <row r="28" spans="2:17">
      <c r="B28" s="8" t="str">
        <f t="shared" si="2"/>
        <v>-</v>
      </c>
      <c r="C28" s="9" t="str">
        <f t="shared" si="3"/>
        <v>-</v>
      </c>
      <c r="D28" s="12"/>
      <c r="E28" s="31"/>
      <c r="F28" s="34" t="str">
        <f>IF(ISBLANK(E28), "", VLOOKUP(E28, 作業リスト!$B$5:$C$60, 2, FALSE))</f>
        <v/>
      </c>
      <c r="G28" s="11"/>
      <c r="H28" s="25" t="str">
        <f t="shared" si="0"/>
        <v/>
      </c>
      <c r="I28" s="19"/>
      <c r="K28" s="37"/>
      <c r="L28" s="40" t="str">
        <f>IF(ISBLANK(K28), "", VLOOKUP(K28, 作業リスト!$B$5:$C$60, 2, FALSE))</f>
        <v/>
      </c>
      <c r="M28" s="21"/>
      <c r="O28" s="61" t="str">
        <f>IF(ISBLANK(作業リスト!$C22), "", 作業リスト!$B22)</f>
        <v/>
      </c>
      <c r="P28" s="43" t="str">
        <f>IF(O28="", "", VLOOKUP(O28, 作業リスト!$B$5:$C$60, 2, FALSE))</f>
        <v/>
      </c>
      <c r="Q28" s="45" t="str">
        <f t="shared" si="1"/>
        <v/>
      </c>
    </row>
    <row r="29" spans="2:17">
      <c r="B29" s="8" t="str">
        <f t="shared" si="2"/>
        <v>-</v>
      </c>
      <c r="C29" s="9" t="str">
        <f t="shared" si="3"/>
        <v>-</v>
      </c>
      <c r="D29" s="12"/>
      <c r="E29" s="31"/>
      <c r="F29" s="34" t="str">
        <f>IF(ISBLANK(E29), "", VLOOKUP(E29, 作業リスト!$B$5:$C$60, 2, FALSE))</f>
        <v/>
      </c>
      <c r="G29" s="11"/>
      <c r="H29" s="25" t="str">
        <f t="shared" si="0"/>
        <v/>
      </c>
      <c r="I29" s="19"/>
      <c r="K29" s="37"/>
      <c r="L29" s="40" t="str">
        <f>IF(ISBLANK(K29), "", VLOOKUP(K29, 作業リスト!$B$5:$C$60, 2, FALSE))</f>
        <v/>
      </c>
      <c r="M29" s="21"/>
      <c r="O29" s="61" t="str">
        <f>IF(ISBLANK(作業リスト!$C23), "", 作業リスト!$B23)</f>
        <v/>
      </c>
      <c r="P29" s="43" t="str">
        <f>IF(O29="", "", VLOOKUP(O29, 作業リスト!$B$5:$C$60, 2, FALSE))</f>
        <v/>
      </c>
      <c r="Q29" s="45" t="str">
        <f t="shared" si="1"/>
        <v/>
      </c>
    </row>
    <row r="30" spans="2:17">
      <c r="B30" s="8" t="str">
        <f t="shared" si="2"/>
        <v>-</v>
      </c>
      <c r="C30" s="9" t="str">
        <f t="shared" si="3"/>
        <v>-</v>
      </c>
      <c r="D30" s="12"/>
      <c r="E30" s="31"/>
      <c r="F30" s="34" t="str">
        <f>IF(ISBLANK(E30), "", VLOOKUP(E30, 作業リスト!$B$5:$C$60, 2, FALSE))</f>
        <v/>
      </c>
      <c r="G30" s="11"/>
      <c r="H30" s="25" t="str">
        <f t="shared" si="0"/>
        <v/>
      </c>
      <c r="I30" s="19"/>
      <c r="K30" s="37"/>
      <c r="L30" s="40" t="str">
        <f>IF(ISBLANK(K30), "", VLOOKUP(K30, 作業リスト!$B$5:$C$60, 2, FALSE))</f>
        <v/>
      </c>
      <c r="M30" s="21"/>
      <c r="O30" s="61" t="str">
        <f>IF(ISBLANK(作業リスト!$C24), "", 作業リスト!$B24)</f>
        <v/>
      </c>
      <c r="P30" s="43" t="str">
        <f>IF(O30="", "", VLOOKUP(O30, 作業リスト!$B$5:$C$60, 2, FALSE))</f>
        <v/>
      </c>
      <c r="Q30" s="45" t="str">
        <f t="shared" si="1"/>
        <v/>
      </c>
    </row>
    <row r="31" spans="2:17">
      <c r="B31" s="8" t="str">
        <f t="shared" si="2"/>
        <v>-</v>
      </c>
      <c r="C31" s="9" t="str">
        <f t="shared" si="3"/>
        <v>-</v>
      </c>
      <c r="D31" s="12"/>
      <c r="E31" s="31"/>
      <c r="F31" s="34" t="str">
        <f>IF(ISBLANK(E31), "", VLOOKUP(E31, 作業リスト!$B$5:$C$60, 2, FALSE))</f>
        <v/>
      </c>
      <c r="G31" s="11"/>
      <c r="H31" s="25" t="str">
        <f t="shared" si="0"/>
        <v/>
      </c>
      <c r="I31" s="19"/>
      <c r="K31" s="37"/>
      <c r="L31" s="40" t="str">
        <f>IF(ISBLANK(K31), "", VLOOKUP(K31, 作業リスト!$B$5:$C$60, 2, FALSE))</f>
        <v/>
      </c>
      <c r="M31" s="21"/>
      <c r="O31" s="61" t="str">
        <f>IF(ISBLANK(作業リスト!$C25), "", 作業リスト!$B25)</f>
        <v/>
      </c>
      <c r="P31" s="43" t="str">
        <f>IF(O31="", "", VLOOKUP(O31, 作業リスト!$B$5:$C$60, 2, FALSE))</f>
        <v/>
      </c>
      <c r="Q31" s="45" t="str">
        <f t="shared" si="1"/>
        <v/>
      </c>
    </row>
    <row r="32" spans="2:17">
      <c r="B32" s="8" t="str">
        <f t="shared" si="2"/>
        <v>-</v>
      </c>
      <c r="C32" s="9" t="str">
        <f t="shared" si="3"/>
        <v>-</v>
      </c>
      <c r="D32" s="12"/>
      <c r="E32" s="31"/>
      <c r="F32" s="34" t="str">
        <f>IF(ISBLANK(E32), "", VLOOKUP(E32, 作業リスト!$B$5:$C$60, 2, FALSE))</f>
        <v/>
      </c>
      <c r="G32" s="11"/>
      <c r="H32" s="25" t="str">
        <f t="shared" si="0"/>
        <v/>
      </c>
      <c r="I32" s="19"/>
      <c r="K32" s="37"/>
      <c r="L32" s="40" t="str">
        <f>IF(ISBLANK(K32), "", VLOOKUP(K32, 作業リスト!$B$5:$C$60, 2, FALSE))</f>
        <v/>
      </c>
      <c r="M32" s="21"/>
      <c r="O32" s="61" t="str">
        <f>IF(ISBLANK(作業リスト!$C26), "", 作業リスト!$B26)</f>
        <v/>
      </c>
      <c r="P32" s="43" t="str">
        <f>IF(O32="", "", VLOOKUP(O32, 作業リスト!$B$5:$C$60, 2, FALSE))</f>
        <v/>
      </c>
      <c r="Q32" s="45" t="str">
        <f t="shared" si="1"/>
        <v/>
      </c>
    </row>
    <row r="33" spans="2:17">
      <c r="B33" s="8" t="str">
        <f t="shared" si="2"/>
        <v>-</v>
      </c>
      <c r="C33" s="9" t="str">
        <f t="shared" si="3"/>
        <v>-</v>
      </c>
      <c r="D33" s="12"/>
      <c r="E33" s="31"/>
      <c r="F33" s="34" t="str">
        <f>IF(ISBLANK(E33), "", VLOOKUP(E33, 作業リスト!$B$5:$C$60, 2, FALSE))</f>
        <v/>
      </c>
      <c r="G33" s="11"/>
      <c r="H33" s="25" t="str">
        <f t="shared" si="0"/>
        <v/>
      </c>
      <c r="I33" s="19"/>
      <c r="K33" s="37"/>
      <c r="L33" s="40" t="str">
        <f>IF(ISBLANK(K33), "", VLOOKUP(K33, 作業リスト!$B$5:$C$60, 2, FALSE))</f>
        <v/>
      </c>
      <c r="M33" s="21"/>
      <c r="O33" s="61" t="str">
        <f>IF(ISBLANK(作業リスト!$C27), "", 作業リスト!$B27)</f>
        <v/>
      </c>
      <c r="P33" s="43" t="str">
        <f>IF(O33="", "", VLOOKUP(O33, 作業リスト!$B$5:$C$60, 2, FALSE))</f>
        <v/>
      </c>
      <c r="Q33" s="45" t="str">
        <f t="shared" si="1"/>
        <v/>
      </c>
    </row>
    <row r="34" spans="2:17">
      <c r="B34" s="8" t="str">
        <f t="shared" si="2"/>
        <v>-</v>
      </c>
      <c r="C34" s="9" t="str">
        <f t="shared" si="3"/>
        <v>-</v>
      </c>
      <c r="D34" s="12"/>
      <c r="E34" s="31"/>
      <c r="F34" s="34" t="str">
        <f>IF(ISBLANK(E34), "", VLOOKUP(E34, 作業リスト!$B$5:$C$60, 2, FALSE))</f>
        <v/>
      </c>
      <c r="G34" s="11"/>
      <c r="H34" s="25" t="str">
        <f t="shared" si="0"/>
        <v/>
      </c>
      <c r="I34" s="19"/>
      <c r="K34" s="37"/>
      <c r="L34" s="40" t="str">
        <f>IF(ISBLANK(K34), "", VLOOKUP(K34, 作業リスト!$B$5:$C$60, 2, FALSE))</f>
        <v/>
      </c>
      <c r="M34" s="21"/>
      <c r="O34" s="61" t="str">
        <f>IF(ISBLANK(作業リスト!$C28), "", 作業リスト!$B28)</f>
        <v/>
      </c>
      <c r="P34" s="43" t="str">
        <f>IF(O34="", "", VLOOKUP(O34, 作業リスト!$B$5:$C$60, 2, FALSE))</f>
        <v/>
      </c>
      <c r="Q34" s="45" t="str">
        <f t="shared" si="1"/>
        <v/>
      </c>
    </row>
    <row r="35" spans="2:17">
      <c r="B35" s="8" t="str">
        <f t="shared" si="2"/>
        <v>-</v>
      </c>
      <c r="C35" s="9" t="str">
        <f t="shared" si="3"/>
        <v>-</v>
      </c>
      <c r="D35" s="12"/>
      <c r="E35" s="31"/>
      <c r="F35" s="34" t="str">
        <f>IF(ISBLANK(E35), "", VLOOKUP(E35, 作業リスト!$B$5:$C$60, 2, FALSE))</f>
        <v/>
      </c>
      <c r="G35" s="11"/>
      <c r="H35" s="25" t="str">
        <f t="shared" si="0"/>
        <v/>
      </c>
      <c r="I35" s="19"/>
      <c r="K35" s="37"/>
      <c r="L35" s="40" t="str">
        <f>IF(ISBLANK(K35), "", VLOOKUP(K35, 作業リスト!$B$5:$C$60, 2, FALSE))</f>
        <v/>
      </c>
      <c r="M35" s="21"/>
      <c r="O35" s="61" t="str">
        <f>IF(ISBLANK(作業リスト!$C29), "", 作業リスト!$B29)</f>
        <v/>
      </c>
      <c r="P35" s="43" t="str">
        <f>IF(O35="", "", VLOOKUP(O35, 作業リスト!$B$5:$C$60, 2, FALSE))</f>
        <v/>
      </c>
      <c r="Q35" s="45" t="str">
        <f t="shared" si="1"/>
        <v/>
      </c>
    </row>
    <row r="36" spans="2:17">
      <c r="B36" s="8" t="str">
        <f t="shared" si="2"/>
        <v>-</v>
      </c>
      <c r="C36" s="9" t="str">
        <f t="shared" si="3"/>
        <v>-</v>
      </c>
      <c r="D36" s="12"/>
      <c r="E36" s="31"/>
      <c r="F36" s="34" t="str">
        <f>IF(ISBLANK(E36), "", VLOOKUP(E36, 作業リスト!$B$5:$C$60, 2, FALSE))</f>
        <v/>
      </c>
      <c r="G36" s="11"/>
      <c r="H36" s="25" t="str">
        <f t="shared" si="0"/>
        <v/>
      </c>
      <c r="I36" s="19"/>
      <c r="K36" s="37"/>
      <c r="L36" s="40" t="str">
        <f>IF(ISBLANK(K36), "", VLOOKUP(K36, 作業リスト!$B$5:$C$60, 2, FALSE))</f>
        <v/>
      </c>
      <c r="M36" s="21"/>
      <c r="O36" s="61" t="str">
        <f>IF(ISBLANK(作業リスト!$C30), "", 作業リスト!$B30)</f>
        <v/>
      </c>
      <c r="P36" s="43" t="str">
        <f>IF(O36="", "", VLOOKUP(O36, 作業リスト!$B$5:$C$60, 2, FALSE))</f>
        <v/>
      </c>
      <c r="Q36" s="45" t="str">
        <f t="shared" si="1"/>
        <v/>
      </c>
    </row>
    <row r="37" spans="2:17">
      <c r="B37" s="8" t="str">
        <f t="shared" si="2"/>
        <v>-</v>
      </c>
      <c r="C37" s="9" t="str">
        <f t="shared" si="3"/>
        <v>-</v>
      </c>
      <c r="D37" s="12"/>
      <c r="E37" s="31"/>
      <c r="F37" s="34" t="str">
        <f>IF(ISBLANK(E37), "", VLOOKUP(E37, 作業リスト!$B$5:$C$60, 2, FALSE))</f>
        <v/>
      </c>
      <c r="G37" s="11"/>
      <c r="H37" s="25" t="str">
        <f t="shared" si="0"/>
        <v/>
      </c>
      <c r="I37" s="19"/>
      <c r="K37" s="37"/>
      <c r="L37" s="40" t="str">
        <f>IF(ISBLANK(K37), "", VLOOKUP(K37, 作業リスト!$B$5:$C$60, 2, FALSE))</f>
        <v/>
      </c>
      <c r="M37" s="21"/>
      <c r="O37" s="61" t="str">
        <f>IF(ISBLANK(作業リスト!$C31), "", 作業リスト!$B31)</f>
        <v/>
      </c>
      <c r="P37" s="43" t="str">
        <f>IF(O37="", "", VLOOKUP(O37, 作業リスト!$B$5:$C$60, 2, FALSE))</f>
        <v/>
      </c>
      <c r="Q37" s="45" t="str">
        <f t="shared" si="1"/>
        <v/>
      </c>
    </row>
    <row r="38" spans="2:17">
      <c r="B38" s="8" t="str">
        <f t="shared" si="2"/>
        <v>-</v>
      </c>
      <c r="C38" s="9" t="str">
        <f t="shared" si="3"/>
        <v>-</v>
      </c>
      <c r="D38" s="12"/>
      <c r="E38" s="31"/>
      <c r="F38" s="34" t="str">
        <f>IF(ISBLANK(E38), "", VLOOKUP(E38, 作業リスト!$B$5:$C$60, 2, FALSE))</f>
        <v/>
      </c>
      <c r="G38" s="11"/>
      <c r="H38" s="25" t="str">
        <f t="shared" si="0"/>
        <v/>
      </c>
      <c r="I38" s="19"/>
      <c r="K38" s="37"/>
      <c r="L38" s="40" t="str">
        <f>IF(ISBLANK(K38), "", VLOOKUP(K38, 作業リスト!$B$5:$C$60, 2, FALSE))</f>
        <v/>
      </c>
      <c r="M38" s="21"/>
      <c r="O38" s="61" t="str">
        <f>IF(ISBLANK(作業リスト!$C32), "", 作業リスト!$B32)</f>
        <v/>
      </c>
      <c r="P38" s="43" t="str">
        <f>IF(O38="", "", VLOOKUP(O38, 作業リスト!$B$5:$C$60, 2, FALSE))</f>
        <v/>
      </c>
      <c r="Q38" s="45" t="str">
        <f t="shared" si="1"/>
        <v/>
      </c>
    </row>
    <row r="39" spans="2:17">
      <c r="B39" s="8" t="str">
        <f t="shared" si="2"/>
        <v>-</v>
      </c>
      <c r="C39" s="9" t="str">
        <f t="shared" si="3"/>
        <v>-</v>
      </c>
      <c r="D39" s="12"/>
      <c r="E39" s="31"/>
      <c r="F39" s="34" t="str">
        <f>IF(ISBLANK(E39), "", VLOOKUP(E39, 作業リスト!$B$5:$C$60, 2, FALSE))</f>
        <v/>
      </c>
      <c r="G39" s="11"/>
      <c r="H39" s="25" t="str">
        <f t="shared" si="0"/>
        <v/>
      </c>
      <c r="I39" s="19"/>
      <c r="K39" s="37"/>
      <c r="L39" s="40" t="str">
        <f>IF(ISBLANK(K39), "", VLOOKUP(K39, 作業リスト!$B$5:$C$60, 2, FALSE))</f>
        <v/>
      </c>
      <c r="M39" s="21"/>
      <c r="O39" s="61" t="str">
        <f>IF(ISBLANK(作業リスト!$C33), "", 作業リスト!$B33)</f>
        <v/>
      </c>
      <c r="P39" s="43" t="str">
        <f>IF(O39="", "", VLOOKUP(O39, 作業リスト!$B$5:$C$60, 2, FALSE))</f>
        <v/>
      </c>
      <c r="Q39" s="45" t="str">
        <f t="shared" si="1"/>
        <v/>
      </c>
    </row>
    <row r="40" spans="2:17">
      <c r="B40" s="8" t="str">
        <f t="shared" si="2"/>
        <v>-</v>
      </c>
      <c r="C40" s="9" t="str">
        <f t="shared" si="3"/>
        <v>-</v>
      </c>
      <c r="D40" s="12"/>
      <c r="E40" s="31"/>
      <c r="F40" s="34" t="str">
        <f>IF(ISBLANK(E40), "", VLOOKUP(E40, 作業リスト!$B$5:$C$60, 2, FALSE))</f>
        <v/>
      </c>
      <c r="G40" s="11"/>
      <c r="H40" s="25" t="str">
        <f t="shared" si="0"/>
        <v/>
      </c>
      <c r="I40" s="19"/>
      <c r="K40" s="37"/>
      <c r="L40" s="40" t="str">
        <f>IF(ISBLANK(K40), "", VLOOKUP(K40, 作業リスト!$B$5:$C$60, 2, FALSE))</f>
        <v/>
      </c>
      <c r="M40" s="21"/>
      <c r="O40" s="61" t="str">
        <f>IF(ISBLANK(作業リスト!$C34), "", 作業リスト!$B34)</f>
        <v/>
      </c>
      <c r="P40" s="43" t="str">
        <f>IF(O40="", "", VLOOKUP(O40, 作業リスト!$B$5:$C$60, 2, FALSE))</f>
        <v/>
      </c>
      <c r="Q40" s="45" t="str">
        <f t="shared" si="1"/>
        <v/>
      </c>
    </row>
    <row r="41" spans="2:17">
      <c r="B41" s="8" t="str">
        <f t="shared" si="2"/>
        <v>-</v>
      </c>
      <c r="C41" s="9" t="str">
        <f t="shared" si="3"/>
        <v>-</v>
      </c>
      <c r="D41" s="12"/>
      <c r="E41" s="31"/>
      <c r="F41" s="34" t="str">
        <f>IF(ISBLANK(E41), "", VLOOKUP(E41, 作業リスト!$B$5:$C$60, 2, FALSE))</f>
        <v/>
      </c>
      <c r="G41" s="11"/>
      <c r="H41" s="25" t="str">
        <f t="shared" si="0"/>
        <v/>
      </c>
      <c r="I41" s="19"/>
      <c r="K41" s="37"/>
      <c r="L41" s="40" t="str">
        <f>IF(ISBLANK(K41), "", VLOOKUP(K41, 作業リスト!$B$5:$C$60, 2, FALSE))</f>
        <v/>
      </c>
      <c r="M41" s="21"/>
      <c r="O41" s="61" t="str">
        <f>IF(ISBLANK(作業リスト!$C35), "", 作業リスト!$B35)</f>
        <v/>
      </c>
      <c r="P41" s="43" t="str">
        <f>IF(O41="", "", VLOOKUP(O41, 作業リスト!$B$5:$C$60, 2, FALSE))</f>
        <v/>
      </c>
      <c r="Q41" s="45" t="str">
        <f t="shared" si="1"/>
        <v/>
      </c>
    </row>
    <row r="42" spans="2:17">
      <c r="B42" s="8" t="str">
        <f t="shared" si="2"/>
        <v>-</v>
      </c>
      <c r="C42" s="9" t="str">
        <f t="shared" si="3"/>
        <v>-</v>
      </c>
      <c r="D42" s="12"/>
      <c r="E42" s="31"/>
      <c r="F42" s="34" t="str">
        <f>IF(ISBLANK(E42), "", VLOOKUP(E42, 作業リスト!$B$5:$C$60, 2, FALSE))</f>
        <v/>
      </c>
      <c r="G42" s="11"/>
      <c r="H42" s="25" t="str">
        <f t="shared" si="0"/>
        <v/>
      </c>
      <c r="I42" s="19"/>
      <c r="K42" s="37"/>
      <c r="L42" s="40" t="str">
        <f>IF(ISBLANK(K42), "", VLOOKUP(K42, 作業リスト!$B$5:$C$60, 2, FALSE))</f>
        <v/>
      </c>
      <c r="M42" s="21"/>
      <c r="O42" s="61" t="str">
        <f>IF(ISBLANK(作業リスト!$C36), "", 作業リスト!$B36)</f>
        <v/>
      </c>
      <c r="P42" s="43" t="str">
        <f>IF(O42="", "", VLOOKUP(O42, 作業リスト!$B$5:$C$60, 2, FALSE))</f>
        <v/>
      </c>
      <c r="Q42" s="45" t="str">
        <f t="shared" si="1"/>
        <v/>
      </c>
    </row>
    <row r="43" spans="2:17">
      <c r="B43" s="8" t="str">
        <f t="shared" si="2"/>
        <v>-</v>
      </c>
      <c r="C43" s="9" t="str">
        <f t="shared" si="3"/>
        <v>-</v>
      </c>
      <c r="D43" s="12"/>
      <c r="E43" s="31"/>
      <c r="F43" s="34" t="str">
        <f>IF(ISBLANK(E43), "", VLOOKUP(E43, 作業リスト!$B$5:$C$60, 2, FALSE))</f>
        <v/>
      </c>
      <c r="G43" s="11"/>
      <c r="H43" s="25" t="str">
        <f t="shared" si="0"/>
        <v/>
      </c>
      <c r="I43" s="19"/>
      <c r="K43" s="37"/>
      <c r="L43" s="40" t="str">
        <f>IF(ISBLANK(K43), "", VLOOKUP(K43, 作業リスト!$B$5:$C$60, 2, FALSE))</f>
        <v/>
      </c>
      <c r="M43" s="21"/>
      <c r="O43" s="61" t="str">
        <f>IF(ISBLANK(作業リスト!$C37), "", 作業リスト!$B37)</f>
        <v/>
      </c>
      <c r="P43" s="43" t="str">
        <f>IF(O43="", "", VLOOKUP(O43, 作業リスト!$B$5:$C$60, 2, FALSE))</f>
        <v/>
      </c>
      <c r="Q43" s="45" t="str">
        <f t="shared" si="1"/>
        <v/>
      </c>
    </row>
    <row r="44" spans="2:17">
      <c r="B44" s="8" t="str">
        <f t="shared" si="2"/>
        <v>-</v>
      </c>
      <c r="C44" s="9" t="str">
        <f t="shared" si="3"/>
        <v>-</v>
      </c>
      <c r="D44" s="12"/>
      <c r="E44" s="31"/>
      <c r="F44" s="34" t="str">
        <f>IF(ISBLANK(E44), "", VLOOKUP(E44, 作業リスト!$B$5:$C$60, 2, FALSE))</f>
        <v/>
      </c>
      <c r="G44" s="11"/>
      <c r="H44" s="25" t="str">
        <f t="shared" si="0"/>
        <v/>
      </c>
      <c r="I44" s="19"/>
      <c r="K44" s="37"/>
      <c r="L44" s="40" t="str">
        <f>IF(ISBLANK(K44), "", VLOOKUP(K44, 作業リスト!$B$5:$C$60, 2, FALSE))</f>
        <v/>
      </c>
      <c r="M44" s="21"/>
      <c r="O44" s="61" t="str">
        <f>IF(ISBLANK(作業リスト!$C38), "", 作業リスト!$B38)</f>
        <v/>
      </c>
      <c r="P44" s="43" t="str">
        <f>IF(O44="", "", VLOOKUP(O44, 作業リスト!$B$5:$C$60, 2, FALSE))</f>
        <v/>
      </c>
      <c r="Q44" s="45" t="str">
        <f t="shared" si="1"/>
        <v/>
      </c>
    </row>
    <row r="45" spans="2:17">
      <c r="B45" s="8" t="str">
        <f t="shared" si="2"/>
        <v>-</v>
      </c>
      <c r="C45" s="9" t="str">
        <f t="shared" si="3"/>
        <v>-</v>
      </c>
      <c r="D45" s="12"/>
      <c r="E45" s="31"/>
      <c r="F45" s="34" t="str">
        <f>IF(ISBLANK(E45), "", VLOOKUP(E45, 作業リスト!$B$5:$C$60, 2, FALSE))</f>
        <v/>
      </c>
      <c r="G45" s="11"/>
      <c r="H45" s="25" t="str">
        <f t="shared" si="0"/>
        <v/>
      </c>
      <c r="I45" s="19"/>
      <c r="K45" s="37"/>
      <c r="L45" s="40" t="str">
        <f>IF(ISBLANK(K45), "", VLOOKUP(K45, 作業リスト!$B$5:$C$60, 2, FALSE))</f>
        <v/>
      </c>
      <c r="M45" s="21"/>
      <c r="O45" s="61" t="str">
        <f>IF(ISBLANK(作業リスト!$C39), "", 作業リスト!$B39)</f>
        <v/>
      </c>
      <c r="P45" s="43" t="str">
        <f>IF(O45="", "", VLOOKUP(O45, 作業リスト!$B$5:$C$60, 2, FALSE))</f>
        <v/>
      </c>
      <c r="Q45" s="45" t="str">
        <f t="shared" si="1"/>
        <v/>
      </c>
    </row>
    <row r="46" spans="2:17">
      <c r="B46" s="8" t="str">
        <f t="shared" si="2"/>
        <v>-</v>
      </c>
      <c r="C46" s="9" t="str">
        <f t="shared" si="3"/>
        <v>-</v>
      </c>
      <c r="D46" s="12"/>
      <c r="E46" s="31"/>
      <c r="F46" s="34" t="str">
        <f>IF(ISBLANK(E46), "", VLOOKUP(E46, 作業リスト!$B$5:$C$60, 2, FALSE))</f>
        <v/>
      </c>
      <c r="G46" s="11"/>
      <c r="H46" s="25" t="str">
        <f t="shared" si="0"/>
        <v/>
      </c>
      <c r="I46" s="19"/>
      <c r="K46" s="37"/>
      <c r="L46" s="40" t="str">
        <f>IF(ISBLANK(K46), "", VLOOKUP(K46, 作業リスト!$B$5:$C$60, 2, FALSE))</f>
        <v/>
      </c>
      <c r="M46" s="21"/>
      <c r="O46" s="61" t="str">
        <f>IF(ISBLANK(作業リスト!$C40), "", 作業リスト!$B40)</f>
        <v/>
      </c>
      <c r="P46" s="43" t="str">
        <f>IF(O46="", "", VLOOKUP(O46, 作業リスト!$B$5:$C$60, 2, FALSE))</f>
        <v/>
      </c>
      <c r="Q46" s="45" t="str">
        <f t="shared" si="1"/>
        <v/>
      </c>
    </row>
    <row r="47" spans="2:17">
      <c r="B47" s="8" t="str">
        <f t="shared" si="2"/>
        <v>-</v>
      </c>
      <c r="C47" s="9" t="str">
        <f t="shared" si="3"/>
        <v>-</v>
      </c>
      <c r="D47" s="12"/>
      <c r="E47" s="31"/>
      <c r="F47" s="34" t="str">
        <f>IF(ISBLANK(E47), "", VLOOKUP(E47, 作業リスト!$B$5:$C$60, 2, FALSE))</f>
        <v/>
      </c>
      <c r="G47" s="11"/>
      <c r="H47" s="25" t="str">
        <f t="shared" si="0"/>
        <v/>
      </c>
      <c r="I47" s="19"/>
      <c r="K47" s="37"/>
      <c r="L47" s="40" t="str">
        <f>IF(ISBLANK(K47), "", VLOOKUP(K47, 作業リスト!$B$5:$C$60, 2, FALSE))</f>
        <v/>
      </c>
      <c r="M47" s="21"/>
      <c r="O47" s="61" t="str">
        <f>IF(ISBLANK(作業リスト!$C41), "", 作業リスト!$B41)</f>
        <v/>
      </c>
      <c r="P47" s="43" t="str">
        <f>IF(O47="", "", VLOOKUP(O47, 作業リスト!$B$5:$C$60, 2, FALSE))</f>
        <v/>
      </c>
      <c r="Q47" s="45" t="str">
        <f t="shared" si="1"/>
        <v/>
      </c>
    </row>
    <row r="48" spans="2:17">
      <c r="B48" s="8" t="str">
        <f t="shared" si="2"/>
        <v>-</v>
      </c>
      <c r="C48" s="9" t="str">
        <f t="shared" si="3"/>
        <v>-</v>
      </c>
      <c r="D48" s="12"/>
      <c r="E48" s="31"/>
      <c r="F48" s="34" t="str">
        <f>IF(ISBLANK(E48), "", VLOOKUP(E48, 作業リスト!$B$5:$C$60, 2, FALSE))</f>
        <v/>
      </c>
      <c r="G48" s="11"/>
      <c r="H48" s="25" t="str">
        <f t="shared" si="0"/>
        <v/>
      </c>
      <c r="I48" s="19"/>
      <c r="K48" s="37"/>
      <c r="L48" s="40" t="str">
        <f>IF(ISBLANK(K48), "", VLOOKUP(K48, 作業リスト!$B$5:$C$60, 2, FALSE))</f>
        <v/>
      </c>
      <c r="M48" s="21"/>
      <c r="O48" s="61" t="str">
        <f>IF(ISBLANK(作業リスト!$C42), "", 作業リスト!$B42)</f>
        <v/>
      </c>
      <c r="P48" s="43" t="str">
        <f>IF(O48="", "", VLOOKUP(O48, 作業リスト!$B$5:$C$60, 2, FALSE))</f>
        <v/>
      </c>
      <c r="Q48" s="45" t="str">
        <f t="shared" si="1"/>
        <v/>
      </c>
    </row>
    <row r="49" spans="2:17">
      <c r="B49" s="8" t="str">
        <f t="shared" si="2"/>
        <v>-</v>
      </c>
      <c r="C49" s="9" t="str">
        <f t="shared" si="3"/>
        <v>-</v>
      </c>
      <c r="D49" s="12"/>
      <c r="E49" s="31"/>
      <c r="F49" s="34" t="str">
        <f>IF(ISBLANK(E49), "", VLOOKUP(E49, 作業リスト!$B$5:$C$60, 2, FALSE))</f>
        <v/>
      </c>
      <c r="G49" s="11"/>
      <c r="H49" s="25" t="str">
        <f t="shared" si="0"/>
        <v/>
      </c>
      <c r="I49" s="19"/>
      <c r="K49" s="37"/>
      <c r="L49" s="40" t="str">
        <f>IF(ISBLANK(K49), "", VLOOKUP(K49, 作業リスト!$B$5:$C$60, 2, FALSE))</f>
        <v/>
      </c>
      <c r="M49" s="21"/>
      <c r="O49" s="61" t="str">
        <f>IF(ISBLANK(作業リスト!$C43), "", 作業リスト!$B43)</f>
        <v/>
      </c>
      <c r="P49" s="43" t="str">
        <f>IF(O49="", "", VLOOKUP(O49, 作業リスト!$B$5:$C$60, 2, FALSE))</f>
        <v/>
      </c>
      <c r="Q49" s="45" t="str">
        <f t="shared" si="1"/>
        <v/>
      </c>
    </row>
    <row r="50" spans="2:17">
      <c r="B50" s="8" t="str">
        <f t="shared" si="2"/>
        <v>-</v>
      </c>
      <c r="C50" s="9" t="str">
        <f t="shared" si="3"/>
        <v>-</v>
      </c>
      <c r="D50" s="12"/>
      <c r="E50" s="31"/>
      <c r="F50" s="34" t="str">
        <f>IF(ISBLANK(E50), "", VLOOKUP(E50, 作業リスト!$B$5:$C$60, 2, FALSE))</f>
        <v/>
      </c>
      <c r="G50" s="11"/>
      <c r="H50" s="25" t="str">
        <f t="shared" si="0"/>
        <v/>
      </c>
      <c r="I50" s="19"/>
      <c r="K50" s="37"/>
      <c r="L50" s="40" t="str">
        <f>IF(ISBLANK(K50), "", VLOOKUP(K50, 作業リスト!$B$5:$C$60, 2, FALSE))</f>
        <v/>
      </c>
      <c r="M50" s="21"/>
      <c r="O50" s="61" t="str">
        <f>IF(ISBLANK(作業リスト!$C44), "", 作業リスト!$B44)</f>
        <v/>
      </c>
      <c r="P50" s="43" t="str">
        <f>IF(O50="", "", VLOOKUP(O50, 作業リスト!$B$5:$C$60, 2, FALSE))</f>
        <v/>
      </c>
      <c r="Q50" s="45" t="str">
        <f t="shared" si="1"/>
        <v/>
      </c>
    </row>
    <row r="51" spans="2:17">
      <c r="B51" s="8" t="str">
        <f t="shared" si="2"/>
        <v>-</v>
      </c>
      <c r="C51" s="9" t="str">
        <f t="shared" si="3"/>
        <v>-</v>
      </c>
      <c r="D51" s="12"/>
      <c r="E51" s="31"/>
      <c r="F51" s="34" t="str">
        <f>IF(ISBLANK(E51), "", VLOOKUP(E51, 作業リスト!$B$5:$C$60, 2, FALSE))</f>
        <v/>
      </c>
      <c r="G51" s="11"/>
      <c r="H51" s="25" t="str">
        <f t="shared" si="0"/>
        <v/>
      </c>
      <c r="I51" s="19"/>
      <c r="K51" s="37"/>
      <c r="L51" s="40" t="str">
        <f>IF(ISBLANK(K51), "", VLOOKUP(K51, 作業リスト!$B$5:$C$60, 2, FALSE))</f>
        <v/>
      </c>
      <c r="M51" s="21"/>
      <c r="O51" s="61" t="str">
        <f>IF(ISBLANK(作業リスト!$C45), "", 作業リスト!$B45)</f>
        <v/>
      </c>
      <c r="P51" s="43" t="str">
        <f>IF(O51="", "", VLOOKUP(O51, 作業リスト!$B$5:$C$60, 2, FALSE))</f>
        <v/>
      </c>
      <c r="Q51" s="45" t="str">
        <f t="shared" si="1"/>
        <v/>
      </c>
    </row>
    <row r="52" spans="2:17">
      <c r="B52" s="8" t="str">
        <f t="shared" si="2"/>
        <v>-</v>
      </c>
      <c r="C52" s="9" t="str">
        <f t="shared" si="3"/>
        <v>-</v>
      </c>
      <c r="D52" s="12"/>
      <c r="E52" s="31"/>
      <c r="F52" s="34" t="str">
        <f>IF(ISBLANK(E52), "", VLOOKUP(E52, 作業リスト!$B$5:$C$60, 2, FALSE))</f>
        <v/>
      </c>
      <c r="G52" s="11"/>
      <c r="H52" s="25" t="str">
        <f t="shared" si="0"/>
        <v/>
      </c>
      <c r="I52" s="19"/>
      <c r="K52" s="37"/>
      <c r="L52" s="40" t="str">
        <f>IF(ISBLANK(K52), "", VLOOKUP(K52, 作業リスト!$B$5:$C$60, 2, FALSE))</f>
        <v/>
      </c>
      <c r="M52" s="21"/>
      <c r="O52" s="61" t="str">
        <f>IF(ISBLANK(作業リスト!$C46), "", 作業リスト!$B46)</f>
        <v/>
      </c>
      <c r="P52" s="43" t="str">
        <f>IF(O52="", "", VLOOKUP(O52, 作業リスト!$B$5:$C$60, 2, FALSE))</f>
        <v/>
      </c>
      <c r="Q52" s="45" t="str">
        <f t="shared" si="1"/>
        <v/>
      </c>
    </row>
    <row r="53" spans="2:17">
      <c r="B53" s="8" t="str">
        <f t="shared" si="2"/>
        <v>-</v>
      </c>
      <c r="C53" s="9" t="str">
        <f t="shared" si="3"/>
        <v>-</v>
      </c>
      <c r="D53" s="12"/>
      <c r="E53" s="31"/>
      <c r="F53" s="34" t="str">
        <f>IF(ISBLANK(E53), "", VLOOKUP(E53, 作業リスト!$B$5:$C$60, 2, FALSE))</f>
        <v/>
      </c>
      <c r="G53" s="11"/>
      <c r="H53" s="25" t="str">
        <f t="shared" si="0"/>
        <v/>
      </c>
      <c r="I53" s="19"/>
      <c r="K53" s="37"/>
      <c r="L53" s="40" t="str">
        <f>IF(ISBLANK(K53), "", VLOOKUP(K53, 作業リスト!$B$5:$C$60, 2, FALSE))</f>
        <v/>
      </c>
      <c r="M53" s="21"/>
      <c r="O53" s="61" t="str">
        <f>IF(ISBLANK(作業リスト!$C47), "", 作業リスト!$B47)</f>
        <v/>
      </c>
      <c r="P53" s="43" t="str">
        <f>IF(O53="", "", VLOOKUP(O53, 作業リスト!$B$5:$C$60, 2, FALSE))</f>
        <v/>
      </c>
      <c r="Q53" s="45" t="str">
        <f t="shared" si="1"/>
        <v/>
      </c>
    </row>
    <row r="54" spans="2:17">
      <c r="B54" s="8" t="str">
        <f t="shared" si="2"/>
        <v>-</v>
      </c>
      <c r="C54" s="9" t="str">
        <f t="shared" si="3"/>
        <v>-</v>
      </c>
      <c r="D54" s="12"/>
      <c r="E54" s="31"/>
      <c r="F54" s="34" t="str">
        <f>IF(ISBLANK(E54), "", VLOOKUP(E54, 作業リスト!$B$5:$C$60, 2, FALSE))</f>
        <v/>
      </c>
      <c r="G54" s="11"/>
      <c r="H54" s="25" t="str">
        <f t="shared" si="0"/>
        <v/>
      </c>
      <c r="I54" s="19"/>
      <c r="K54" s="37"/>
      <c r="L54" s="40" t="str">
        <f>IF(ISBLANK(K54), "", VLOOKUP(K54, 作業リスト!$B$5:$C$60, 2, FALSE))</f>
        <v/>
      </c>
      <c r="M54" s="21"/>
      <c r="O54" s="61" t="str">
        <f>IF(ISBLANK(作業リスト!$C48), "", 作業リスト!$B48)</f>
        <v/>
      </c>
      <c r="P54" s="43" t="str">
        <f>IF(O54="", "", VLOOKUP(O54, 作業リスト!$B$5:$C$60, 2, FALSE))</f>
        <v/>
      </c>
      <c r="Q54" s="45" t="str">
        <f t="shared" si="1"/>
        <v/>
      </c>
    </row>
    <row r="55" spans="2:17" ht="14.25" thickBot="1">
      <c r="B55" s="13" t="str">
        <f t="shared" si="2"/>
        <v>-</v>
      </c>
      <c r="C55" s="14" t="str">
        <f t="shared" si="3"/>
        <v>-</v>
      </c>
      <c r="D55" s="15"/>
      <c r="E55" s="32"/>
      <c r="F55" s="35" t="str">
        <f>IF(ISBLANK(E55), "", VLOOKUP(E55, 作業リスト!$B$5:$C$60, 2, FALSE))</f>
        <v/>
      </c>
      <c r="G55" s="16"/>
      <c r="H55" s="26" t="str">
        <f t="shared" si="0"/>
        <v/>
      </c>
      <c r="I55" s="20"/>
      <c r="K55" s="38"/>
      <c r="L55" s="41" t="str">
        <f>IF(ISBLANK(K55), "", VLOOKUP(K55, 作業リスト!$B$5:$C$60, 2, FALSE))</f>
        <v/>
      </c>
      <c r="M55" s="22"/>
      <c r="O55" s="61" t="str">
        <f>IF(ISBLANK(作業リスト!$C49), "", 作業リスト!$B49)</f>
        <v/>
      </c>
      <c r="P55" s="43" t="str">
        <f>IF(O55="", "", VLOOKUP(O55, 作業リスト!$B$5:$C$60, 2, FALSE))</f>
        <v/>
      </c>
      <c r="Q55" s="45" t="str">
        <f t="shared" si="1"/>
        <v/>
      </c>
    </row>
    <row r="56" spans="2:17" ht="14.25" thickBot="1">
      <c r="K56" s="81" t="s">
        <v>18</v>
      </c>
      <c r="L56" s="82"/>
      <c r="M56" s="23">
        <f>SUM(M11:M55)</f>
        <v>0.37499999999999989</v>
      </c>
      <c r="O56" s="61" t="str">
        <f>IF(ISBLANK(作業リスト!$C50), "", 作業リスト!$B50)</f>
        <v/>
      </c>
      <c r="P56" s="43" t="str">
        <f>IF(O56="", "", VLOOKUP(O56, 作業リスト!$B$5:$C$60, 2, FALSE))</f>
        <v/>
      </c>
      <c r="Q56" s="45" t="str">
        <f t="shared" si="1"/>
        <v/>
      </c>
    </row>
    <row r="57" spans="2:17">
      <c r="O57" s="61" t="str">
        <f>IF(ISBLANK(作業リスト!$C51), "", 作業リスト!$B51)</f>
        <v/>
      </c>
      <c r="P57" s="43" t="str">
        <f>IF(O57="", "", VLOOKUP(O57, 作業リスト!$B$5:$C$60, 2, FALSE))</f>
        <v/>
      </c>
      <c r="Q57" s="45" t="str">
        <f t="shared" si="1"/>
        <v/>
      </c>
    </row>
    <row r="58" spans="2:17">
      <c r="C58" s="42"/>
      <c r="D58" s="42"/>
      <c r="O58" s="61" t="str">
        <f>IF(ISBLANK(作業リスト!$C52), "", 作業リスト!$B52)</f>
        <v/>
      </c>
      <c r="P58" s="43" t="str">
        <f>IF(O58="", "", VLOOKUP(O58, 作業リスト!$B$5:$C$60, 2, FALSE))</f>
        <v/>
      </c>
      <c r="Q58" s="45" t="str">
        <f t="shared" si="1"/>
        <v/>
      </c>
    </row>
    <row r="59" spans="2:17">
      <c r="O59" s="61" t="str">
        <f>IF(ISBLANK(作業リスト!$C53), "", 作業リスト!$B53)</f>
        <v/>
      </c>
      <c r="P59" s="43" t="str">
        <f>IF(O59="", "", VLOOKUP(O59, 作業リスト!$B$5:$C$60, 2, FALSE))</f>
        <v/>
      </c>
      <c r="Q59" s="45" t="str">
        <f t="shared" si="1"/>
        <v/>
      </c>
    </row>
    <row r="60" spans="2:17">
      <c r="O60" s="61" t="str">
        <f>IF(ISBLANK(作業リスト!$C54), "", 作業リスト!$B54)</f>
        <v/>
      </c>
      <c r="P60" s="43" t="str">
        <f>IF(O60="", "", VLOOKUP(O60, 作業リスト!$B$5:$C$60, 2, FALSE))</f>
        <v/>
      </c>
      <c r="Q60" s="45" t="str">
        <f t="shared" si="1"/>
        <v/>
      </c>
    </row>
    <row r="61" spans="2:17">
      <c r="O61" s="61" t="str">
        <f>IF(ISBLANK(作業リスト!$C55), "", 作業リスト!$B55)</f>
        <v>REST01</v>
      </c>
      <c r="P61" s="43" t="str">
        <f>IF(O61="", "", VLOOKUP(O61, 作業リスト!$B$5:$C$60, 2, FALSE))</f>
        <v>昼休憩</v>
      </c>
      <c r="Q61" s="45">
        <f t="shared" si="1"/>
        <v>4.1666666666666664E-2</v>
      </c>
    </row>
    <row r="62" spans="2:17">
      <c r="O62" s="61" t="str">
        <f>IF(ISBLANK(作業リスト!$C56), "", 作業リスト!$B56)</f>
        <v/>
      </c>
      <c r="P62" s="43" t="str">
        <f>IF(O62="", "", VLOOKUP(O62, 作業リスト!$B$5:$C$60, 2, FALSE))</f>
        <v/>
      </c>
      <c r="Q62" s="45" t="str">
        <f t="shared" si="1"/>
        <v/>
      </c>
    </row>
    <row r="63" spans="2:17">
      <c r="O63" s="61" t="str">
        <f>IF(ISBLANK(作業リスト!$C57), "", 作業リスト!$B57)</f>
        <v/>
      </c>
      <c r="P63" s="43" t="str">
        <f>IF(O63="", "", VLOOKUP(O63, 作業リスト!$B$5:$C$60, 2, FALSE))</f>
        <v/>
      </c>
      <c r="Q63" s="45" t="str">
        <f t="shared" si="1"/>
        <v/>
      </c>
    </row>
    <row r="64" spans="2:17">
      <c r="O64" s="61" t="str">
        <f>IF(ISBLANK(作業リスト!$C58), "", 作業リスト!$B58)</f>
        <v/>
      </c>
      <c r="P64" s="43" t="str">
        <f>IF(O64="", "", VLOOKUP(O64, 作業リスト!$B$5:$C$60, 2, FALSE))</f>
        <v/>
      </c>
      <c r="Q64" s="45" t="str">
        <f t="shared" si="1"/>
        <v/>
      </c>
    </row>
    <row r="65" spans="15:17">
      <c r="O65" s="61" t="str">
        <f>IF(ISBLANK(作業リスト!$C59), "", 作業リスト!$B59)</f>
        <v/>
      </c>
      <c r="P65" s="43" t="str">
        <f>IF(O65="", "", VLOOKUP(O65, 作業リスト!$B$5:$C$60, 2, FALSE))</f>
        <v/>
      </c>
      <c r="Q65" s="45" t="str">
        <f t="shared" si="1"/>
        <v/>
      </c>
    </row>
    <row r="66" spans="15:17" ht="14.25" thickBot="1">
      <c r="O66" s="61" t="str">
        <f>IF(ISBLANK(作業リスト!$C60), "", 作業リスト!$B60)</f>
        <v>END</v>
      </c>
      <c r="P66" s="43" t="str">
        <f>IF(O66="", "", VLOOKUP(O66, 作業リスト!$B$5:$C$60, 2, FALSE))</f>
        <v>&lt;&lt; -- 終了 -- &gt;&gt;</v>
      </c>
      <c r="Q66" s="45">
        <f t="shared" si="1"/>
        <v>0</v>
      </c>
    </row>
    <row r="67" spans="15:17" ht="14.25" thickBot="1">
      <c r="O67" s="81" t="s">
        <v>18</v>
      </c>
      <c r="P67" s="82"/>
      <c r="Q67" s="23">
        <f>SUM(Q11:Q55) - SUMIF($O$11:$O$55, "REST??", $Q$11:$Q$55) - SUMIF($O$11:$O$55, "END", $Q$11:$Q$55)</f>
        <v>0.3333333333333332</v>
      </c>
    </row>
    <row r="68" spans="15:17">
      <c r="O68" s="62"/>
      <c r="P68" s="48"/>
    </row>
    <row r="69" spans="15:17">
      <c r="O69" s="62"/>
      <c r="P69" s="48"/>
    </row>
    <row r="70" spans="15:17">
      <c r="O70" s="62"/>
      <c r="P70" s="48"/>
    </row>
    <row r="71" spans="15:17">
      <c r="O71" s="62"/>
      <c r="P71" s="48"/>
    </row>
    <row r="72" spans="15:17">
      <c r="O72" s="62"/>
      <c r="P72" s="48"/>
    </row>
    <row r="73" spans="15:17">
      <c r="O73" s="62"/>
      <c r="P73" s="48"/>
    </row>
    <row r="74" spans="15:17">
      <c r="O74" s="62"/>
      <c r="P74" s="48"/>
    </row>
    <row r="75" spans="15:17">
      <c r="O75" s="62"/>
      <c r="P75" s="48"/>
    </row>
    <row r="76" spans="15:17">
      <c r="O76" s="62"/>
      <c r="P76" s="48"/>
    </row>
    <row r="77" spans="15:17">
      <c r="O77" s="62"/>
      <c r="P77" s="48"/>
    </row>
    <row r="78" spans="15:17">
      <c r="O78" s="62"/>
      <c r="P78" s="48"/>
    </row>
    <row r="79" spans="15:17">
      <c r="O79" s="62"/>
      <c r="P79" s="48"/>
    </row>
    <row r="80" spans="15:17">
      <c r="O80" s="62"/>
      <c r="P80" s="48"/>
    </row>
    <row r="81" spans="15:16">
      <c r="O81" s="62"/>
      <c r="P81" s="48"/>
    </row>
    <row r="82" spans="15:16">
      <c r="O82" s="62"/>
    </row>
    <row r="83" spans="15:16">
      <c r="O83" s="62"/>
      <c r="P83" s="48"/>
    </row>
    <row r="84" spans="15:16">
      <c r="O84" s="62"/>
      <c r="P84" s="48"/>
    </row>
    <row r="85" spans="15:16">
      <c r="O85" s="62"/>
      <c r="P85" s="48"/>
    </row>
    <row r="86" spans="15:16">
      <c r="O86" s="62"/>
      <c r="P86" s="48"/>
    </row>
    <row r="87" spans="15:16">
      <c r="O87" s="62"/>
    </row>
    <row r="88" spans="15:16">
      <c r="O88" s="62"/>
    </row>
    <row r="89" spans="15:16">
      <c r="O89" s="62"/>
    </row>
    <row r="90" spans="15:16">
      <c r="O90" s="62"/>
    </row>
    <row r="91" spans="15:16">
      <c r="O91" s="62"/>
    </row>
    <row r="92" spans="15:16">
      <c r="O92" s="62"/>
    </row>
    <row r="93" spans="15:16">
      <c r="O93" s="62"/>
    </row>
    <row r="94" spans="15:16">
      <c r="O94" s="62"/>
    </row>
    <row r="95" spans="15:16">
      <c r="O95" s="62"/>
    </row>
  </sheetData>
  <sheetProtection sheet="1" objects="1" scenarios="1" formatColumns="0" formatRows="0"/>
  <mergeCells count="21">
    <mergeCell ref="O7:P7"/>
    <mergeCell ref="O9:O10"/>
    <mergeCell ref="P9:P10"/>
    <mergeCell ref="Q9:Q10"/>
    <mergeCell ref="O67:P67"/>
    <mergeCell ref="K7:L7"/>
    <mergeCell ref="B2:D2"/>
    <mergeCell ref="D3:D4"/>
    <mergeCell ref="B3:B4"/>
    <mergeCell ref="C3:C4"/>
    <mergeCell ref="K9:K10"/>
    <mergeCell ref="M9:M10"/>
    <mergeCell ref="E9:E10"/>
    <mergeCell ref="L9:L10"/>
    <mergeCell ref="K56:L56"/>
    <mergeCell ref="B9:D9"/>
    <mergeCell ref="F9:F10"/>
    <mergeCell ref="G9:G10"/>
    <mergeCell ref="I9:I10"/>
    <mergeCell ref="B7:D7"/>
    <mergeCell ref="H9:H10"/>
  </mergeCells>
  <phoneticPr fontId="1"/>
  <conditionalFormatting sqref="G11:H55">
    <cfRule type="cellIs" dxfId="11" priority="3" operator="equal">
      <formula>"続"</formula>
    </cfRule>
    <cfRule type="cellIs" dxfId="10" priority="4" operator="equal">
      <formula>"完"</formula>
    </cfRule>
    <cfRule type="cellIs" dxfId="9" priority="5" operator="equal">
      <formula>"未"</formula>
    </cfRule>
  </conditionalFormatting>
  <conditionalFormatting sqref="B11:H55">
    <cfRule type="expression" dxfId="8" priority="1">
      <formula>$H11="←"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開始">
                <anchor moveWithCells="1" sizeWithCells="1">
                  <from>
                    <xdr:col>1</xdr:col>
                    <xdr:colOff>28575</xdr:colOff>
                    <xdr:row>2</xdr:row>
                    <xdr:rowOff>28575</xdr:rowOff>
                  </from>
                  <to>
                    <xdr:col>1</xdr:col>
                    <xdr:colOff>457200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時計停止">
                <anchor moveWithCells="1" sizeWithCells="1">
                  <from>
                    <xdr:col>2</xdr:col>
                    <xdr:colOff>38100</xdr:colOff>
                    <xdr:row>2</xdr:row>
                    <xdr:rowOff>28575</xdr:rowOff>
                  </from>
                  <to>
                    <xdr:col>2</xdr:col>
                    <xdr:colOff>457200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imeMode="halfAlpha" allowBlank="1" showInputMessage="1" showErrorMessage="1" errorTitle="作業インターバル時間" error="リストから作業インターバル時間を選択してください。_x000a_(※指定可能時間：0:00 ～ 20:00, 0:05単位)" promptTitle="作業インターバル時間" prompt="リストから作業インターバル時間を選択してください。">
          <x14:formula1>
            <xm:f>プルダウンリスト!$D$3:$D$242</xm:f>
          </x14:formula1>
          <xm:sqref>D11:D55</xm:sqref>
        </x14:dataValidation>
        <x14:dataValidation type="list" showInputMessage="1" showErrorMessage="1" errorTitle="完了状態の入力が無効です。" error="リストから完了状態を選択してください。" promptTitle="完了状態" prompt="リストから完了状態(完・続・未)を選択してください。">
          <x14:formula1>
            <xm:f>プルダウンリスト!$B$3:$B$5</xm:f>
          </x14:formula1>
          <xm:sqref>G11:G55</xm:sqref>
        </x14:dataValidation>
        <x14:dataValidation type="list" allowBlank="1" showInputMessage="1" showErrorMessage="1" errorTitle="作業IDの入力" error="リストから作業IDを選択してください。" promptTitle="作業IDの入力" prompt="リストから作業IDを選択してください。">
          <x14:formula1>
            <xm:f>作業リスト!$B$5:$B$60</xm:f>
          </x14:formula1>
          <xm:sqref>E11:E55</xm:sqref>
        </x14:dataValidation>
        <x14:dataValidation type="list" allowBlank="1" showInputMessage="1" showErrorMessage="1" errorTitle="作業インターバル時間の入力" error="リストから作業インターバル時間を選択してください。" promptTitle="作業インターバル時間の入力" prompt="リストから作業インターバル時間を選択してください。">
          <x14:formula1>
            <xm:f>プルダウンリスト!$D$3:$D$242</xm:f>
          </x14:formula1>
          <xm:sqref>M11:M55</xm:sqref>
        </x14:dataValidation>
        <x14:dataValidation type="list" allowBlank="1" showInputMessage="1" showErrorMessage="1" errorTitle="作業IDの入力" error="リスtから作業IDを選択してください。" promptTitle="作業IDの入力" prompt="リスtから作業IDを選択してください。">
          <x14:formula1>
            <xm:f>作業リスト!$B$5:$B$60</xm:f>
          </x14:formula1>
          <xm:sqref>K11:K55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88"/>
  <sheetViews>
    <sheetView showGridLines="0" zoomScale="85" zoomScaleNormal="85" workbookViewId="0">
      <selection activeCell="D1" sqref="D1"/>
    </sheetView>
  </sheetViews>
  <sheetFormatPr defaultRowHeight="13.5"/>
  <cols>
    <col min="1" max="1" width="2.25" customWidth="1"/>
    <col min="2" max="2" width="12.125" bestFit="1" customWidth="1"/>
    <col min="3" max="3" width="33.5" customWidth="1"/>
  </cols>
  <sheetData>
    <row r="2" spans="2:3">
      <c r="B2" s="72" t="s">
        <v>76</v>
      </c>
      <c r="C2" s="72"/>
    </row>
    <row r="3" spans="2:3" ht="14.25" thickBot="1"/>
    <row r="4" spans="2:3" ht="14.25" thickBot="1">
      <c r="B4" s="58" t="s">
        <v>17</v>
      </c>
      <c r="C4" s="27" t="s">
        <v>14</v>
      </c>
    </row>
    <row r="5" spans="2:3" ht="14.25" thickTop="1">
      <c r="B5" s="56" t="s">
        <v>20</v>
      </c>
      <c r="C5" s="28" t="s">
        <v>6</v>
      </c>
    </row>
    <row r="6" spans="2:3">
      <c r="B6" s="57" t="s">
        <v>21</v>
      </c>
      <c r="C6" s="19" t="s">
        <v>96</v>
      </c>
    </row>
    <row r="7" spans="2:3">
      <c r="B7" s="57" t="s">
        <v>22</v>
      </c>
      <c r="C7" s="19" t="s">
        <v>101</v>
      </c>
    </row>
    <row r="8" spans="2:3">
      <c r="B8" s="57" t="s">
        <v>23</v>
      </c>
      <c r="C8" s="19" t="s">
        <v>112</v>
      </c>
    </row>
    <row r="9" spans="2:3">
      <c r="B9" s="57" t="s">
        <v>24</v>
      </c>
      <c r="C9" s="19" t="s">
        <v>102</v>
      </c>
    </row>
    <row r="10" spans="2:3">
      <c r="B10" s="57" t="s">
        <v>25</v>
      </c>
      <c r="C10" s="19" t="s">
        <v>103</v>
      </c>
    </row>
    <row r="11" spans="2:3">
      <c r="B11" s="57" t="s">
        <v>26</v>
      </c>
      <c r="C11" s="19" t="s">
        <v>104</v>
      </c>
    </row>
    <row r="12" spans="2:3">
      <c r="B12" s="57" t="s">
        <v>27</v>
      </c>
      <c r="C12" s="19" t="s">
        <v>105</v>
      </c>
    </row>
    <row r="13" spans="2:3">
      <c r="B13" s="57" t="s">
        <v>28</v>
      </c>
      <c r="C13" s="19" t="s">
        <v>8</v>
      </c>
    </row>
    <row r="14" spans="2:3">
      <c r="B14" s="57" t="s">
        <v>29</v>
      </c>
      <c r="C14" s="19"/>
    </row>
    <row r="15" spans="2:3">
      <c r="B15" s="57" t="s">
        <v>30</v>
      </c>
      <c r="C15" s="19"/>
    </row>
    <row r="16" spans="2:3">
      <c r="B16" s="57" t="s">
        <v>31</v>
      </c>
      <c r="C16" s="19"/>
    </row>
    <row r="17" spans="2:15">
      <c r="B17" s="57" t="s">
        <v>32</v>
      </c>
      <c r="C17" s="19"/>
    </row>
    <row r="18" spans="2:15">
      <c r="B18" s="57" t="s">
        <v>33</v>
      </c>
      <c r="C18" s="19"/>
    </row>
    <row r="19" spans="2:15">
      <c r="B19" s="57" t="s">
        <v>34</v>
      </c>
      <c r="C19" s="19"/>
    </row>
    <row r="20" spans="2:15">
      <c r="B20" s="57" t="s">
        <v>35</v>
      </c>
      <c r="C20" s="19"/>
      <c r="O20" t="str">
        <f>IF(ISBLANK(作業リスト!B5), "", 作業リスト!B14)</f>
        <v>W010</v>
      </c>
    </row>
    <row r="21" spans="2:15">
      <c r="B21" s="57" t="s">
        <v>36</v>
      </c>
      <c r="C21" s="19"/>
    </row>
    <row r="22" spans="2:15">
      <c r="B22" s="57" t="s">
        <v>37</v>
      </c>
      <c r="C22" s="19"/>
    </row>
    <row r="23" spans="2:15">
      <c r="B23" s="57" t="s">
        <v>38</v>
      </c>
      <c r="C23" s="19"/>
    </row>
    <row r="24" spans="2:15">
      <c r="B24" s="57" t="s">
        <v>39</v>
      </c>
      <c r="C24" s="19"/>
    </row>
    <row r="25" spans="2:15">
      <c r="B25" s="57" t="s">
        <v>40</v>
      </c>
      <c r="C25" s="19"/>
    </row>
    <row r="26" spans="2:15">
      <c r="B26" s="57" t="s">
        <v>41</v>
      </c>
      <c r="C26" s="19"/>
    </row>
    <row r="27" spans="2:15">
      <c r="B27" s="57" t="s">
        <v>42</v>
      </c>
      <c r="C27" s="19"/>
    </row>
    <row r="28" spans="2:15">
      <c r="B28" s="57" t="s">
        <v>43</v>
      </c>
      <c r="C28" s="19"/>
    </row>
    <row r="29" spans="2:15">
      <c r="B29" s="57" t="s">
        <v>44</v>
      </c>
      <c r="C29" s="19"/>
    </row>
    <row r="30" spans="2:15">
      <c r="B30" s="57" t="s">
        <v>45</v>
      </c>
      <c r="C30" s="19"/>
    </row>
    <row r="31" spans="2:15">
      <c r="B31" s="57" t="s">
        <v>46</v>
      </c>
      <c r="C31" s="19"/>
    </row>
    <row r="32" spans="2:15">
      <c r="B32" s="57" t="s">
        <v>47</v>
      </c>
      <c r="C32" s="19"/>
    </row>
    <row r="33" spans="2:3">
      <c r="B33" s="57" t="s">
        <v>48</v>
      </c>
      <c r="C33" s="19"/>
    </row>
    <row r="34" spans="2:3">
      <c r="B34" s="57" t="s">
        <v>49</v>
      </c>
      <c r="C34" s="19"/>
    </row>
    <row r="35" spans="2:3">
      <c r="B35" s="57" t="s">
        <v>50</v>
      </c>
      <c r="C35" s="19"/>
    </row>
    <row r="36" spans="2:3">
      <c r="B36" s="57" t="s">
        <v>51</v>
      </c>
      <c r="C36" s="19"/>
    </row>
    <row r="37" spans="2:3">
      <c r="B37" s="57" t="s">
        <v>52</v>
      </c>
      <c r="C37" s="19"/>
    </row>
    <row r="38" spans="2:3">
      <c r="B38" s="57" t="s">
        <v>53</v>
      </c>
      <c r="C38" s="19"/>
    </row>
    <row r="39" spans="2:3">
      <c r="B39" s="57" t="s">
        <v>54</v>
      </c>
      <c r="C39" s="19"/>
    </row>
    <row r="40" spans="2:3">
      <c r="B40" s="57" t="s">
        <v>55</v>
      </c>
      <c r="C40" s="19"/>
    </row>
    <row r="41" spans="2:3">
      <c r="B41" s="57" t="s">
        <v>56</v>
      </c>
      <c r="C41" s="19"/>
    </row>
    <row r="42" spans="2:3">
      <c r="B42" s="57" t="s">
        <v>57</v>
      </c>
      <c r="C42" s="19"/>
    </row>
    <row r="43" spans="2:3">
      <c r="B43" s="57" t="s">
        <v>58</v>
      </c>
      <c r="C43" s="19"/>
    </row>
    <row r="44" spans="2:3">
      <c r="B44" s="57" t="s">
        <v>59</v>
      </c>
      <c r="C44" s="19"/>
    </row>
    <row r="45" spans="2:3">
      <c r="B45" s="57" t="s">
        <v>60</v>
      </c>
      <c r="C45" s="19"/>
    </row>
    <row r="46" spans="2:3">
      <c r="B46" s="57" t="s">
        <v>61</v>
      </c>
      <c r="C46" s="19"/>
    </row>
    <row r="47" spans="2:3">
      <c r="B47" s="57" t="s">
        <v>62</v>
      </c>
      <c r="C47" s="19"/>
    </row>
    <row r="48" spans="2:3">
      <c r="B48" s="57" t="s">
        <v>63</v>
      </c>
      <c r="C48" s="19"/>
    </row>
    <row r="49" spans="2:3">
      <c r="B49" s="57" t="s">
        <v>64</v>
      </c>
      <c r="C49" s="19"/>
    </row>
    <row r="50" spans="2:3">
      <c r="B50" s="57" t="s">
        <v>65</v>
      </c>
      <c r="C50" s="19"/>
    </row>
    <row r="51" spans="2:3">
      <c r="B51" s="57" t="s">
        <v>66</v>
      </c>
      <c r="C51" s="19"/>
    </row>
    <row r="52" spans="2:3">
      <c r="B52" s="57" t="s">
        <v>67</v>
      </c>
      <c r="C52" s="19"/>
    </row>
    <row r="53" spans="2:3">
      <c r="B53" s="57" t="s">
        <v>68</v>
      </c>
      <c r="C53" s="19"/>
    </row>
    <row r="54" spans="2:3">
      <c r="B54" s="57" t="s">
        <v>69</v>
      </c>
      <c r="C54" s="19"/>
    </row>
    <row r="55" spans="2:3">
      <c r="B55" s="57" t="s">
        <v>70</v>
      </c>
      <c r="C55" s="19" t="s">
        <v>12</v>
      </c>
    </row>
    <row r="56" spans="2:3">
      <c r="B56" s="57" t="s">
        <v>71</v>
      </c>
      <c r="C56" s="19"/>
    </row>
    <row r="57" spans="2:3">
      <c r="B57" s="57" t="s">
        <v>72</v>
      </c>
      <c r="C57" s="19"/>
    </row>
    <row r="58" spans="2:3">
      <c r="B58" s="57" t="s">
        <v>73</v>
      </c>
      <c r="C58" s="19"/>
    </row>
    <row r="59" spans="2:3">
      <c r="B59" s="57" t="s">
        <v>74</v>
      </c>
      <c r="C59" s="19"/>
    </row>
    <row r="60" spans="2:3" ht="14.25" thickBot="1">
      <c r="B60" s="59" t="s">
        <v>93</v>
      </c>
      <c r="C60" s="20" t="s">
        <v>75</v>
      </c>
    </row>
    <row r="64" spans="2:3">
      <c r="B64" s="49"/>
      <c r="C64" s="50"/>
    </row>
    <row r="65" spans="2:3">
      <c r="B65" s="51"/>
      <c r="C65" s="50"/>
    </row>
    <row r="66" spans="2:3">
      <c r="B66" s="51"/>
      <c r="C66" s="50"/>
    </row>
    <row r="67" spans="2:3">
      <c r="B67" s="52"/>
      <c r="C67" s="52"/>
    </row>
    <row r="68" spans="2:3">
      <c r="B68" s="52"/>
      <c r="C68" s="52"/>
    </row>
    <row r="69" spans="2:3">
      <c r="B69" s="52"/>
      <c r="C69" s="52"/>
    </row>
    <row r="70" spans="2:3">
      <c r="B70" s="52"/>
      <c r="C70" s="52"/>
    </row>
    <row r="71" spans="2:3">
      <c r="B71" s="52"/>
      <c r="C71" s="52"/>
    </row>
    <row r="72" spans="2:3">
      <c r="B72" s="52"/>
      <c r="C72" s="52"/>
    </row>
    <row r="73" spans="2:3">
      <c r="B73" s="52"/>
      <c r="C73" s="52"/>
    </row>
    <row r="74" spans="2:3">
      <c r="B74" s="52"/>
      <c r="C74" s="52"/>
    </row>
    <row r="75" spans="2:3">
      <c r="B75" s="52"/>
      <c r="C75" s="52"/>
    </row>
    <row r="76" spans="2:3">
      <c r="B76" s="52"/>
      <c r="C76" s="52"/>
    </row>
    <row r="77" spans="2:3">
      <c r="B77" s="52"/>
      <c r="C77" s="52"/>
    </row>
    <row r="78" spans="2:3">
      <c r="B78" s="52"/>
      <c r="C78" s="52"/>
    </row>
    <row r="79" spans="2:3">
      <c r="B79" s="52"/>
      <c r="C79" s="52"/>
    </row>
    <row r="80" spans="2:3">
      <c r="B80" s="52"/>
      <c r="C80" s="52"/>
    </row>
    <row r="81" spans="2:3">
      <c r="B81" s="52"/>
      <c r="C81" s="52"/>
    </row>
    <row r="82" spans="2:3">
      <c r="B82" s="52"/>
      <c r="C82" s="52"/>
    </row>
    <row r="83" spans="2:3">
      <c r="B83" s="52"/>
      <c r="C83" s="52"/>
    </row>
    <row r="84" spans="2:3">
      <c r="B84" s="52"/>
      <c r="C84" s="52"/>
    </row>
    <row r="85" spans="2:3">
      <c r="B85" s="52"/>
      <c r="C85" s="52"/>
    </row>
    <row r="86" spans="2:3">
      <c r="B86" s="52"/>
      <c r="C86" s="52"/>
    </row>
    <row r="87" spans="2:3">
      <c r="B87" s="52"/>
      <c r="C87" s="52"/>
    </row>
    <row r="88" spans="2:3">
      <c r="B88" s="52"/>
      <c r="C88" s="52"/>
    </row>
  </sheetData>
  <sheetProtection sheet="1" objects="1" scenarios="1" formatColumns="0" formatRows="0"/>
  <mergeCells count="1">
    <mergeCell ref="B2:C2"/>
  </mergeCells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N100"/>
  <sheetViews>
    <sheetView showGridLines="0" workbookViewId="0">
      <selection activeCell="V2" sqref="V2"/>
    </sheetView>
  </sheetViews>
  <sheetFormatPr defaultRowHeight="13.5"/>
  <cols>
    <col min="1" max="1" width="2.25" customWidth="1"/>
    <col min="2" max="40" width="2.375" customWidth="1"/>
  </cols>
  <sheetData>
    <row r="1" spans="1:40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</row>
    <row r="2" spans="1:40" ht="17.25">
      <c r="A2" s="46"/>
      <c r="B2" s="94" t="s">
        <v>79</v>
      </c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</row>
    <row r="3" spans="1:40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</row>
    <row r="4" spans="1:40" ht="14.25">
      <c r="A4" s="46"/>
      <c r="B4" s="46"/>
      <c r="C4" s="53" t="s">
        <v>80</v>
      </c>
      <c r="D4" s="44"/>
      <c r="E4" s="44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</row>
    <row r="5" spans="1:40">
      <c r="A5" s="46"/>
      <c r="B5" s="46"/>
      <c r="C5" s="46"/>
      <c r="D5" s="42" t="s">
        <v>81</v>
      </c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  <c r="AA5" s="47"/>
      <c r="AB5" s="47"/>
      <c r="AC5" s="47"/>
      <c r="AD5" s="47"/>
      <c r="AE5" s="47"/>
      <c r="AF5" s="47"/>
      <c r="AG5" s="47"/>
      <c r="AH5" s="47"/>
      <c r="AI5" s="47"/>
      <c r="AJ5" s="47"/>
      <c r="AK5" s="47"/>
      <c r="AL5" s="47"/>
      <c r="AM5" s="47"/>
      <c r="AN5" s="47"/>
    </row>
    <row r="6" spans="1:40">
      <c r="A6" s="46"/>
      <c r="B6" s="46"/>
      <c r="C6" s="46"/>
    </row>
    <row r="7" spans="1:40">
      <c r="A7" s="46"/>
      <c r="B7" s="46"/>
      <c r="C7" s="46"/>
    </row>
    <row r="8" spans="1:40">
      <c r="A8" s="46"/>
      <c r="B8" s="46"/>
      <c r="C8" s="46"/>
    </row>
    <row r="9" spans="1:40">
      <c r="A9" s="46"/>
      <c r="B9" s="46"/>
      <c r="C9" s="46"/>
    </row>
    <row r="10" spans="1:40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</row>
    <row r="11" spans="1:40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</row>
    <row r="12" spans="1:40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</row>
    <row r="13" spans="1:40">
      <c r="A13" s="46"/>
      <c r="B13" s="46"/>
      <c r="C13" s="46"/>
    </row>
    <row r="14" spans="1:40">
      <c r="A14" s="46"/>
      <c r="B14" s="46"/>
      <c r="C14" s="46"/>
    </row>
    <row r="15" spans="1:40">
      <c r="A15" s="46"/>
      <c r="B15" s="46"/>
      <c r="C15" s="46"/>
    </row>
    <row r="16" spans="1:40">
      <c r="A16" s="46"/>
      <c r="B16" s="46"/>
      <c r="C16" s="46"/>
    </row>
    <row r="17" spans="1:40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</row>
    <row r="18" spans="1:40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</row>
    <row r="19" spans="1:40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</row>
    <row r="20" spans="1:40">
      <c r="A20" s="46"/>
      <c r="B20" s="46"/>
      <c r="C20" s="46"/>
      <c r="E20" t="s">
        <v>90</v>
      </c>
    </row>
    <row r="21" spans="1:40">
      <c r="A21" s="46"/>
      <c r="B21" s="46"/>
      <c r="C21" s="46"/>
    </row>
    <row r="22" spans="1:40">
      <c r="A22" s="46"/>
      <c r="B22" s="46"/>
      <c r="C22" s="46"/>
      <c r="D22" s="42" t="s">
        <v>82</v>
      </c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7"/>
      <c r="AN22" s="47"/>
    </row>
    <row r="23" spans="1:40">
      <c r="A23" s="46"/>
      <c r="B23" s="46"/>
      <c r="C23" s="46"/>
      <c r="D23" s="46"/>
      <c r="E23" s="44" t="s">
        <v>83</v>
      </c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</row>
    <row r="24" spans="1:40">
      <c r="A24" s="46"/>
      <c r="B24" s="46"/>
      <c r="C24" s="46"/>
      <c r="F24" t="s">
        <v>86</v>
      </c>
    </row>
    <row r="25" spans="1:40">
      <c r="A25" s="46"/>
      <c r="B25" s="46"/>
      <c r="C25" s="46"/>
    </row>
    <row r="26" spans="1:40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</row>
    <row r="27" spans="1:40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</row>
    <row r="28" spans="1:40">
      <c r="A28" s="46"/>
      <c r="B28" s="46"/>
      <c r="C28" s="46"/>
    </row>
    <row r="29" spans="1:40">
      <c r="A29" s="46"/>
      <c r="B29" s="46"/>
      <c r="C29" s="46"/>
    </row>
    <row r="30" spans="1:40">
      <c r="A30" s="46"/>
      <c r="B30" s="46"/>
      <c r="C30" s="46"/>
    </row>
    <row r="31" spans="1:40">
      <c r="A31" s="46"/>
      <c r="B31" s="46"/>
      <c r="C31" s="46"/>
    </row>
    <row r="32" spans="1:40">
      <c r="A32" s="46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</row>
    <row r="33" spans="1:40">
      <c r="A33" s="46"/>
      <c r="B33" s="46"/>
      <c r="C33" s="46"/>
    </row>
    <row r="34" spans="1:40">
      <c r="A34" s="46"/>
      <c r="B34" s="46"/>
      <c r="C34" s="46"/>
      <c r="D34" s="44" t="s">
        <v>84</v>
      </c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</row>
    <row r="35" spans="1:40">
      <c r="A35" s="46"/>
      <c r="B35" s="46"/>
      <c r="C35" s="46"/>
      <c r="D35" s="46"/>
      <c r="E35" s="44" t="s">
        <v>85</v>
      </c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</row>
    <row r="36" spans="1:40">
      <c r="A36" s="46"/>
      <c r="B36" s="46"/>
      <c r="C36" s="46"/>
      <c r="D36" s="46"/>
      <c r="E36" s="46"/>
      <c r="F36" s="46" t="s">
        <v>87</v>
      </c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</row>
    <row r="37" spans="1:40">
      <c r="A37" s="46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</row>
    <row r="38" spans="1:40">
      <c r="A38" s="46"/>
      <c r="B38" s="46"/>
      <c r="C38" s="46"/>
      <c r="D38" s="46"/>
      <c r="E38" s="46"/>
      <c r="F38" s="46"/>
      <c r="G38" s="46"/>
      <c r="H38" s="46"/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</row>
    <row r="39" spans="1:40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</row>
    <row r="40" spans="1:40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</row>
    <row r="41" spans="1:40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</row>
    <row r="42" spans="1:40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</row>
    <row r="43" spans="1:40">
      <c r="A43" s="46"/>
      <c r="B43" s="46"/>
      <c r="C43" s="46"/>
      <c r="D43" s="46"/>
      <c r="E43" s="46"/>
      <c r="F43" s="46"/>
      <c r="G43" s="46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</row>
    <row r="44" spans="1:40">
      <c r="A44" s="46"/>
      <c r="B44" s="46"/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</row>
    <row r="45" spans="1:40">
      <c r="A45" s="46"/>
      <c r="B45" s="46"/>
      <c r="C45" s="46"/>
      <c r="D45" s="46"/>
      <c r="E45" s="46"/>
      <c r="F45" s="46"/>
      <c r="G45" s="46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6"/>
      <c r="AM45" s="46"/>
      <c r="AN45" s="46"/>
    </row>
    <row r="46" spans="1:40">
      <c r="A46" s="46"/>
      <c r="B46" s="46"/>
      <c r="C46" s="46"/>
      <c r="D46" s="44" t="s">
        <v>88</v>
      </c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</row>
    <row r="47" spans="1:40">
      <c r="A47" s="46"/>
      <c r="B47" s="46"/>
      <c r="C47" s="46"/>
      <c r="D47" s="46"/>
      <c r="E47" s="46"/>
      <c r="F47" s="46" t="s">
        <v>89</v>
      </c>
      <c r="G47" s="46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/>
      <c r="AN47" s="46"/>
    </row>
    <row r="48" spans="1:40">
      <c r="A48" s="46"/>
      <c r="B48" s="46"/>
      <c r="C48" s="46"/>
      <c r="D48" s="46"/>
      <c r="E48" s="46"/>
      <c r="F48" s="46"/>
      <c r="G48" s="46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</row>
    <row r="49" spans="1:40">
      <c r="A49" s="46"/>
      <c r="B49" s="46"/>
      <c r="C49" s="46"/>
      <c r="D49" s="46"/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</row>
    <row r="50" spans="1:40">
      <c r="A50" s="46"/>
      <c r="B50" s="46"/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</row>
    <row r="51" spans="1:40">
      <c r="A51" s="46"/>
      <c r="B51" s="46"/>
      <c r="C51" s="46"/>
      <c r="D51" s="46"/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6"/>
      <c r="AM51" s="46"/>
      <c r="AN51" s="46"/>
    </row>
    <row r="52" spans="1:40">
      <c r="A52" s="46"/>
      <c r="B52" s="46"/>
      <c r="C52" s="46"/>
      <c r="D52" s="46"/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/>
      <c r="AN52" s="46"/>
    </row>
    <row r="53" spans="1:40">
      <c r="A53" s="46"/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</row>
    <row r="54" spans="1:40">
      <c r="A54" s="46"/>
      <c r="B54" s="46"/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 s="46"/>
    </row>
    <row r="55" spans="1:40">
      <c r="A55" s="46"/>
      <c r="B55" s="46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6"/>
      <c r="AM55" s="46"/>
      <c r="AN55" s="46"/>
    </row>
    <row r="56" spans="1:40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 s="46"/>
    </row>
    <row r="57" spans="1:40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</row>
    <row r="58" spans="1:40">
      <c r="A58" s="46"/>
      <c r="B58" s="46"/>
      <c r="C58" s="46"/>
    </row>
    <row r="59" spans="1:40">
      <c r="A59" s="46"/>
      <c r="B59" s="46"/>
      <c r="C59" s="46"/>
      <c r="D59" s="44" t="s">
        <v>91</v>
      </c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  <c r="AI59" s="46"/>
      <c r="AJ59" s="46"/>
      <c r="AK59" s="46"/>
      <c r="AL59" s="46"/>
      <c r="AM59" s="46"/>
      <c r="AN59" s="46"/>
    </row>
    <row r="60" spans="1:40">
      <c r="A60" s="46"/>
      <c r="B60" s="46"/>
      <c r="C60" s="46"/>
      <c r="D60" s="46"/>
      <c r="E60" s="44" t="s">
        <v>92</v>
      </c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6"/>
      <c r="AM60" s="46"/>
      <c r="AN60" s="46"/>
    </row>
    <row r="61" spans="1:40">
      <c r="A61" s="46"/>
      <c r="B61" s="46"/>
      <c r="C61" s="46"/>
      <c r="D61" s="46"/>
      <c r="F61" t="s">
        <v>94</v>
      </c>
      <c r="AA61" s="46"/>
      <c r="AB61" s="46"/>
      <c r="AC61" s="46"/>
      <c r="AD61" s="46"/>
      <c r="AE61" s="46"/>
      <c r="AF61" s="46"/>
      <c r="AG61" s="46"/>
      <c r="AH61" s="46"/>
      <c r="AI61" s="46"/>
      <c r="AJ61" s="46"/>
      <c r="AK61" s="46"/>
      <c r="AL61" s="46"/>
      <c r="AM61" s="46"/>
      <c r="AN61" s="46"/>
    </row>
    <row r="62" spans="1:40">
      <c r="A62" s="46"/>
      <c r="B62" s="46"/>
      <c r="C62" s="46"/>
      <c r="D62" s="46"/>
      <c r="G62" t="s">
        <v>95</v>
      </c>
      <c r="AA62" s="46"/>
      <c r="AB62" s="46"/>
      <c r="AC62" s="46"/>
      <c r="AD62" s="46"/>
      <c r="AE62" s="46"/>
      <c r="AF62" s="46"/>
      <c r="AG62" s="46"/>
      <c r="AH62" s="46"/>
      <c r="AI62" s="46"/>
      <c r="AJ62" s="46"/>
      <c r="AK62" s="46"/>
      <c r="AL62" s="46"/>
      <c r="AM62" s="46"/>
      <c r="AN62" s="46"/>
    </row>
    <row r="63" spans="1:40">
      <c r="A63" s="46"/>
      <c r="B63" s="46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6"/>
      <c r="AI63" s="46"/>
      <c r="AJ63" s="46"/>
      <c r="AK63" s="46"/>
      <c r="AL63" s="46"/>
      <c r="AM63" s="46"/>
      <c r="AN63" s="46"/>
    </row>
    <row r="64" spans="1:40">
      <c r="A64" s="46"/>
      <c r="B64" s="46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6"/>
      <c r="AI64" s="46"/>
      <c r="AJ64" s="46"/>
      <c r="AK64" s="46"/>
      <c r="AL64" s="46"/>
      <c r="AM64" s="46"/>
      <c r="AN64" s="46"/>
    </row>
    <row r="65" spans="1:40">
      <c r="A65" s="46"/>
      <c r="B65" s="46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6"/>
      <c r="AI65" s="46"/>
      <c r="AJ65" s="46"/>
      <c r="AK65" s="46"/>
      <c r="AL65" s="46"/>
      <c r="AM65" s="46"/>
      <c r="AN65" s="46"/>
    </row>
    <row r="66" spans="1:40">
      <c r="A66" s="46"/>
      <c r="B66" s="46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  <c r="AH66" s="46"/>
      <c r="AI66" s="46"/>
      <c r="AJ66" s="46"/>
      <c r="AK66" s="46"/>
      <c r="AL66" s="46"/>
      <c r="AM66" s="46"/>
      <c r="AN66" s="46"/>
    </row>
    <row r="67" spans="1:40">
      <c r="A67" s="46"/>
      <c r="B67" s="46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  <c r="AH67" s="46"/>
      <c r="AI67" s="46"/>
      <c r="AJ67" s="46"/>
      <c r="AK67" s="46"/>
      <c r="AL67" s="46"/>
      <c r="AM67" s="46"/>
      <c r="AN67" s="46"/>
    </row>
    <row r="68" spans="1:40">
      <c r="A68" s="46"/>
      <c r="B68" s="46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</row>
    <row r="69" spans="1:40">
      <c r="A69" s="46"/>
      <c r="B69" s="46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  <c r="AH69" s="46"/>
      <c r="AI69" s="46"/>
      <c r="AJ69" s="46"/>
      <c r="AK69" s="46"/>
      <c r="AL69" s="46"/>
      <c r="AM69" s="46"/>
      <c r="AN69" s="46"/>
    </row>
    <row r="70" spans="1:40">
      <c r="A70" s="46"/>
      <c r="B70" s="46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6"/>
      <c r="AI70" s="46"/>
      <c r="AJ70" s="46"/>
      <c r="AK70" s="46"/>
      <c r="AL70" s="46"/>
      <c r="AM70" s="46"/>
      <c r="AN70" s="46"/>
    </row>
    <row r="71" spans="1:40">
      <c r="A71" s="46"/>
      <c r="B71" s="46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  <c r="AH71" s="46"/>
      <c r="AI71" s="46"/>
      <c r="AJ71" s="46"/>
      <c r="AK71" s="46"/>
      <c r="AL71" s="46"/>
      <c r="AM71" s="46"/>
      <c r="AN71" s="46"/>
    </row>
    <row r="72" spans="1:40">
      <c r="A72" s="46"/>
      <c r="B72" s="46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46"/>
      <c r="AI72" s="46"/>
      <c r="AJ72" s="46"/>
      <c r="AK72" s="46"/>
      <c r="AL72" s="46"/>
      <c r="AM72" s="46"/>
      <c r="AN72" s="46"/>
    </row>
    <row r="73" spans="1:40">
      <c r="A73" s="46"/>
      <c r="B73" s="46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  <c r="AH73" s="46"/>
      <c r="AI73" s="46"/>
      <c r="AJ73" s="46"/>
      <c r="AK73" s="46"/>
      <c r="AL73" s="46"/>
      <c r="AM73" s="46"/>
      <c r="AN73" s="46"/>
    </row>
    <row r="74" spans="1:40">
      <c r="A74" s="46"/>
      <c r="B74" s="46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  <c r="AH74" s="46"/>
      <c r="AI74" s="46"/>
      <c r="AJ74" s="46"/>
      <c r="AK74" s="46"/>
      <c r="AL74" s="46"/>
      <c r="AM74" s="46"/>
      <c r="AN74" s="46"/>
    </row>
    <row r="75" spans="1:40">
      <c r="A75" s="46"/>
      <c r="B75" s="46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  <c r="AH75" s="46"/>
      <c r="AI75" s="46"/>
      <c r="AJ75" s="46"/>
      <c r="AK75" s="46"/>
      <c r="AL75" s="46"/>
      <c r="AM75" s="46"/>
      <c r="AN75" s="46"/>
    </row>
    <row r="76" spans="1:40">
      <c r="A76" s="46"/>
      <c r="B76" s="46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6"/>
      <c r="AI76" s="46"/>
      <c r="AJ76" s="46"/>
      <c r="AK76" s="46"/>
      <c r="AL76" s="46"/>
      <c r="AM76" s="46"/>
      <c r="AN76" s="46"/>
    </row>
    <row r="77" spans="1:40">
      <c r="A77" s="46"/>
      <c r="B77" s="46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46"/>
      <c r="AJ77" s="46"/>
      <c r="AK77" s="46"/>
      <c r="AL77" s="46"/>
      <c r="AM77" s="46"/>
      <c r="AN77" s="46"/>
    </row>
    <row r="78" spans="1:40">
      <c r="A78" s="46"/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  <c r="AI78" s="46"/>
      <c r="AJ78" s="46"/>
      <c r="AK78" s="46"/>
      <c r="AL78" s="46"/>
      <c r="AM78" s="46"/>
      <c r="AN78" s="46"/>
    </row>
    <row r="79" spans="1:40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46"/>
      <c r="AJ79" s="46"/>
      <c r="AK79" s="46"/>
      <c r="AL79" s="46"/>
      <c r="AM79" s="46"/>
      <c r="AN79" s="46"/>
    </row>
    <row r="80" spans="1:40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46"/>
      <c r="AJ80" s="46"/>
      <c r="AK80" s="46"/>
      <c r="AL80" s="46"/>
      <c r="AM80" s="46"/>
      <c r="AN80" s="46"/>
    </row>
    <row r="81" spans="1:40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46"/>
      <c r="AJ81" s="46"/>
      <c r="AK81" s="46"/>
      <c r="AL81" s="46"/>
      <c r="AM81" s="46"/>
      <c r="AN81" s="46"/>
    </row>
    <row r="82" spans="1:40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46"/>
      <c r="AJ82" s="46"/>
      <c r="AK82" s="46"/>
      <c r="AL82" s="46"/>
      <c r="AM82" s="46"/>
      <c r="AN82" s="46"/>
    </row>
    <row r="83" spans="1:40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46"/>
      <c r="AJ83" s="46"/>
      <c r="AK83" s="46"/>
      <c r="AL83" s="46"/>
      <c r="AM83" s="46"/>
      <c r="AN83" s="46"/>
    </row>
    <row r="84" spans="1:40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46"/>
      <c r="AJ84" s="46"/>
      <c r="AK84" s="46"/>
      <c r="AL84" s="46"/>
      <c r="AM84" s="46"/>
      <c r="AN84" s="46"/>
    </row>
    <row r="85" spans="1:40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46"/>
      <c r="AJ85" s="46"/>
      <c r="AK85" s="46"/>
      <c r="AL85" s="46"/>
      <c r="AM85" s="46"/>
      <c r="AN85" s="46"/>
    </row>
    <row r="86" spans="1:40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46"/>
      <c r="AJ86" s="46"/>
      <c r="AK86" s="46"/>
      <c r="AL86" s="46"/>
      <c r="AM86" s="46"/>
      <c r="AN86" s="46"/>
    </row>
    <row r="87" spans="1:40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46"/>
      <c r="AJ87" s="46"/>
      <c r="AK87" s="46"/>
      <c r="AL87" s="46"/>
      <c r="AM87" s="46"/>
      <c r="AN87" s="46"/>
    </row>
    <row r="88" spans="1:40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46"/>
      <c r="AJ88" s="46"/>
      <c r="AK88" s="46"/>
      <c r="AL88" s="46"/>
      <c r="AM88" s="46"/>
      <c r="AN88" s="46"/>
    </row>
    <row r="89" spans="1:40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I89" s="46"/>
      <c r="AJ89" s="46"/>
      <c r="AK89" s="46"/>
      <c r="AL89" s="46"/>
      <c r="AM89" s="46"/>
      <c r="AN89" s="46"/>
    </row>
    <row r="90" spans="1:40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I90" s="46"/>
      <c r="AJ90" s="46"/>
      <c r="AK90" s="46"/>
      <c r="AL90" s="46"/>
      <c r="AM90" s="46"/>
      <c r="AN90" s="46"/>
    </row>
    <row r="91" spans="1:40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I91" s="46"/>
      <c r="AJ91" s="46"/>
      <c r="AK91" s="46"/>
      <c r="AL91" s="46"/>
      <c r="AM91" s="46"/>
      <c r="AN91" s="46"/>
    </row>
    <row r="92" spans="1:40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I92" s="46"/>
      <c r="AJ92" s="46"/>
      <c r="AK92" s="46"/>
      <c r="AL92" s="46"/>
      <c r="AM92" s="46"/>
      <c r="AN92" s="46"/>
    </row>
    <row r="93" spans="1:40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I93" s="46"/>
      <c r="AJ93" s="46"/>
      <c r="AK93" s="46"/>
      <c r="AL93" s="46"/>
      <c r="AM93" s="46"/>
      <c r="AN93" s="46"/>
    </row>
    <row r="94" spans="1:40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  <c r="AH94" s="46"/>
      <c r="AI94" s="46"/>
      <c r="AJ94" s="46"/>
      <c r="AK94" s="46"/>
      <c r="AL94" s="46"/>
      <c r="AM94" s="46"/>
      <c r="AN94" s="46"/>
    </row>
    <row r="95" spans="1:40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  <c r="AH95" s="46"/>
      <c r="AI95" s="46"/>
      <c r="AJ95" s="46"/>
      <c r="AK95" s="46"/>
      <c r="AL95" s="46"/>
      <c r="AM95" s="46"/>
      <c r="AN95" s="46"/>
    </row>
    <row r="96" spans="1:40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  <c r="AH96" s="46"/>
      <c r="AI96" s="46"/>
      <c r="AJ96" s="46"/>
      <c r="AK96" s="46"/>
      <c r="AL96" s="46"/>
      <c r="AM96" s="46"/>
      <c r="AN96" s="46"/>
    </row>
    <row r="97" spans="1:40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  <c r="AH97" s="46"/>
      <c r="AI97" s="46"/>
      <c r="AJ97" s="46"/>
      <c r="AK97" s="46"/>
      <c r="AL97" s="46"/>
      <c r="AM97" s="46"/>
      <c r="AN97" s="46"/>
    </row>
    <row r="98" spans="1:40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  <c r="AH98" s="46"/>
      <c r="AI98" s="46"/>
      <c r="AJ98" s="46"/>
      <c r="AK98" s="46"/>
      <c r="AL98" s="46"/>
      <c r="AM98" s="46"/>
      <c r="AN98" s="46"/>
    </row>
    <row r="99" spans="1:40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6"/>
      <c r="AI99" s="46"/>
      <c r="AJ99" s="46"/>
      <c r="AK99" s="46"/>
      <c r="AL99" s="46"/>
      <c r="AM99" s="46"/>
      <c r="AN99" s="46"/>
    </row>
    <row r="100" spans="1:40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46"/>
      <c r="AJ100" s="46"/>
      <c r="AK100" s="46"/>
      <c r="AL100" s="46"/>
      <c r="AM100" s="46"/>
      <c r="AN100" s="46"/>
    </row>
  </sheetData>
  <sheetProtection sheet="1" objects="1" scenarios="1"/>
  <mergeCells count="1">
    <mergeCell ref="B2:S2"/>
  </mergeCells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D242"/>
  <sheetViews>
    <sheetView zoomScale="85" zoomScaleNormal="85" workbookViewId="0">
      <selection activeCell="F2" sqref="F2"/>
    </sheetView>
  </sheetViews>
  <sheetFormatPr defaultRowHeight="13.5"/>
  <cols>
    <col min="1" max="1" width="2.25" customWidth="1"/>
    <col min="2" max="2" width="13.5" customWidth="1"/>
    <col min="3" max="3" width="2.25" customWidth="1"/>
    <col min="4" max="4" width="21.5" customWidth="1"/>
  </cols>
  <sheetData>
    <row r="2" spans="2:4" ht="27">
      <c r="B2" s="54" t="s">
        <v>114</v>
      </c>
      <c r="D2" s="54" t="s">
        <v>115</v>
      </c>
    </row>
    <row r="3" spans="2:4">
      <c r="B3" t="s">
        <v>7</v>
      </c>
      <c r="D3" s="55">
        <v>3.472222222222222E-3</v>
      </c>
    </row>
    <row r="4" spans="2:4">
      <c r="B4" t="s">
        <v>100</v>
      </c>
      <c r="D4" s="55">
        <v>6.9444444444444441E-3</v>
      </c>
    </row>
    <row r="5" spans="2:4">
      <c r="B5" t="s">
        <v>9</v>
      </c>
      <c r="D5" s="55">
        <v>1.0416666666666666E-2</v>
      </c>
    </row>
    <row r="6" spans="2:4">
      <c r="D6" s="55">
        <v>1.38888888888889E-2</v>
      </c>
    </row>
    <row r="7" spans="2:4">
      <c r="D7" s="55">
        <v>1.7361111111111101E-2</v>
      </c>
    </row>
    <row r="8" spans="2:4">
      <c r="D8" s="55">
        <v>2.0833333333333301E-2</v>
      </c>
    </row>
    <row r="9" spans="2:4">
      <c r="D9" s="55">
        <v>2.43055555555555E-2</v>
      </c>
    </row>
    <row r="10" spans="2:4">
      <c r="D10" s="55">
        <v>2.7777777777777801E-2</v>
      </c>
    </row>
    <row r="11" spans="2:4">
      <c r="D11" s="55">
        <v>3.125E-2</v>
      </c>
    </row>
    <row r="12" spans="2:4">
      <c r="D12" s="55">
        <v>3.4722222222222203E-2</v>
      </c>
    </row>
    <row r="13" spans="2:4">
      <c r="D13" s="55">
        <v>3.8194444444444399E-2</v>
      </c>
    </row>
    <row r="14" spans="2:4">
      <c r="D14" s="55">
        <v>4.1666666666666602E-2</v>
      </c>
    </row>
    <row r="15" spans="2:4">
      <c r="D15" s="55">
        <v>4.5138888888888902E-2</v>
      </c>
    </row>
    <row r="16" spans="2:4">
      <c r="D16" s="55">
        <v>4.8611111111111098E-2</v>
      </c>
    </row>
    <row r="17" spans="4:4">
      <c r="D17" s="55">
        <v>5.2083333333333301E-2</v>
      </c>
    </row>
    <row r="18" spans="4:4">
      <c r="D18" s="55">
        <v>5.5555555555555497E-2</v>
      </c>
    </row>
    <row r="19" spans="4:4">
      <c r="D19" s="55">
        <v>5.9027777777777797E-2</v>
      </c>
    </row>
    <row r="20" spans="4:4">
      <c r="D20" s="55">
        <v>6.25E-2</v>
      </c>
    </row>
    <row r="21" spans="4:4">
      <c r="D21" s="55">
        <v>6.5972222222222196E-2</v>
      </c>
    </row>
    <row r="22" spans="4:4">
      <c r="D22" s="55">
        <v>6.9444444444444406E-2</v>
      </c>
    </row>
    <row r="23" spans="4:4">
      <c r="D23" s="55">
        <v>7.2916666666666602E-2</v>
      </c>
    </row>
    <row r="24" spans="4:4">
      <c r="D24" s="55">
        <v>7.6388888888888895E-2</v>
      </c>
    </row>
    <row r="25" spans="4:4">
      <c r="D25" s="55">
        <v>7.9861111111111105E-2</v>
      </c>
    </row>
    <row r="26" spans="4:4">
      <c r="D26" s="55">
        <v>8.3333333333333301E-2</v>
      </c>
    </row>
    <row r="27" spans="4:4">
      <c r="D27" s="55">
        <v>8.6805555555555497E-2</v>
      </c>
    </row>
    <row r="28" spans="4:4">
      <c r="D28" s="55">
        <v>9.0277777777777804E-2</v>
      </c>
    </row>
    <row r="29" spans="4:4">
      <c r="D29" s="55">
        <v>9.375E-2</v>
      </c>
    </row>
    <row r="30" spans="4:4">
      <c r="D30" s="55">
        <v>9.7222222222222196E-2</v>
      </c>
    </row>
    <row r="31" spans="4:4">
      <c r="D31" s="55">
        <v>0.100694444444444</v>
      </c>
    </row>
    <row r="32" spans="4:4">
      <c r="D32" s="55">
        <v>0.10416666666666601</v>
      </c>
    </row>
    <row r="33" spans="4:4">
      <c r="D33" s="55">
        <v>0.10763888888888901</v>
      </c>
    </row>
    <row r="34" spans="4:4">
      <c r="D34" s="55">
        <v>0.11111111111111099</v>
      </c>
    </row>
    <row r="35" spans="4:4">
      <c r="D35" s="55">
        <v>0.114583333333333</v>
      </c>
    </row>
    <row r="36" spans="4:4">
      <c r="D36" s="55">
        <v>0.118055555555555</v>
      </c>
    </row>
    <row r="37" spans="4:4">
      <c r="D37" s="55">
        <v>0.121527777777778</v>
      </c>
    </row>
    <row r="38" spans="4:4">
      <c r="D38" s="55">
        <v>0.125</v>
      </c>
    </row>
    <row r="39" spans="4:4">
      <c r="D39" s="55">
        <v>0.12847222222222199</v>
      </c>
    </row>
    <row r="40" spans="4:4">
      <c r="D40" s="55">
        <v>0.131944444444444</v>
      </c>
    </row>
    <row r="41" spans="4:4">
      <c r="D41" s="55">
        <v>0.13541666666666599</v>
      </c>
    </row>
    <row r="42" spans="4:4">
      <c r="D42" s="55">
        <v>0.13888888888888901</v>
      </c>
    </row>
    <row r="43" spans="4:4">
      <c r="D43" s="55">
        <v>0.14236111111111099</v>
      </c>
    </row>
    <row r="44" spans="4:4">
      <c r="D44" s="55">
        <v>0.14583333333333301</v>
      </c>
    </row>
    <row r="45" spans="4:4">
      <c r="D45" s="55">
        <v>0.149305555555555</v>
      </c>
    </row>
    <row r="46" spans="4:4">
      <c r="D46" s="55">
        <v>0.15277777777777801</v>
      </c>
    </row>
    <row r="47" spans="4:4">
      <c r="D47" s="55">
        <v>0.15625</v>
      </c>
    </row>
    <row r="48" spans="4:4">
      <c r="D48" s="55">
        <v>0.15972222222222199</v>
      </c>
    </row>
    <row r="49" spans="4:4">
      <c r="D49" s="55">
        <v>0.163194444444444</v>
      </c>
    </row>
    <row r="50" spans="4:4">
      <c r="D50" s="55">
        <v>0.16666666666666599</v>
      </c>
    </row>
    <row r="51" spans="4:4">
      <c r="D51" s="55">
        <v>0.17013888888888901</v>
      </c>
    </row>
    <row r="52" spans="4:4">
      <c r="D52" s="55">
        <v>0.17361111111111099</v>
      </c>
    </row>
    <row r="53" spans="4:4">
      <c r="D53" s="55">
        <v>0.17708333333333301</v>
      </c>
    </row>
    <row r="54" spans="4:4">
      <c r="D54" s="55">
        <v>0.180555555555555</v>
      </c>
    </row>
    <row r="55" spans="4:4">
      <c r="D55" s="55">
        <v>0.18402777777777801</v>
      </c>
    </row>
    <row r="56" spans="4:4">
      <c r="D56" s="55">
        <v>0.1875</v>
      </c>
    </row>
    <row r="57" spans="4:4">
      <c r="D57" s="55">
        <v>0.19097222222222199</v>
      </c>
    </row>
    <row r="58" spans="4:4">
      <c r="D58" s="55">
        <v>0.194444444444444</v>
      </c>
    </row>
    <row r="59" spans="4:4">
      <c r="D59" s="55">
        <v>0.19791666666666599</v>
      </c>
    </row>
    <row r="60" spans="4:4">
      <c r="D60" s="55">
        <v>0.20138888888888901</v>
      </c>
    </row>
    <row r="61" spans="4:4">
      <c r="D61" s="55">
        <v>0.20486111111111099</v>
      </c>
    </row>
    <row r="62" spans="4:4">
      <c r="D62" s="55">
        <v>0.20833333333333301</v>
      </c>
    </row>
    <row r="63" spans="4:4">
      <c r="D63" s="55">
        <v>0.211805555555555</v>
      </c>
    </row>
    <row r="64" spans="4:4">
      <c r="D64" s="55">
        <v>0.21527777777777801</v>
      </c>
    </row>
    <row r="65" spans="4:4">
      <c r="D65" s="55">
        <v>0.21875</v>
      </c>
    </row>
    <row r="66" spans="4:4">
      <c r="D66" s="55">
        <v>0.22222222222222199</v>
      </c>
    </row>
    <row r="67" spans="4:4">
      <c r="D67" s="55">
        <v>0.225694444444444</v>
      </c>
    </row>
    <row r="68" spans="4:4">
      <c r="D68" s="55">
        <v>0.22916666666666599</v>
      </c>
    </row>
    <row r="69" spans="4:4">
      <c r="D69" s="55">
        <v>0.23263888888888901</v>
      </c>
    </row>
    <row r="70" spans="4:4">
      <c r="D70" s="55">
        <v>0.23611111111111099</v>
      </c>
    </row>
    <row r="71" spans="4:4">
      <c r="D71" s="55">
        <v>0.23958333333333301</v>
      </c>
    </row>
    <row r="72" spans="4:4">
      <c r="D72" s="55">
        <v>0.243055555555555</v>
      </c>
    </row>
    <row r="73" spans="4:4">
      <c r="D73" s="55">
        <v>0.24652777777777801</v>
      </c>
    </row>
    <row r="74" spans="4:4">
      <c r="D74" s="55">
        <v>0.25</v>
      </c>
    </row>
    <row r="75" spans="4:4">
      <c r="D75" s="55">
        <v>0.25347222222222199</v>
      </c>
    </row>
    <row r="76" spans="4:4">
      <c r="D76" s="55">
        <v>0.25694444444444398</v>
      </c>
    </row>
    <row r="77" spans="4:4">
      <c r="D77" s="55">
        <v>0.26041666666666602</v>
      </c>
    </row>
    <row r="78" spans="4:4">
      <c r="D78" s="55">
        <v>0.26388888888888901</v>
      </c>
    </row>
    <row r="79" spans="4:4">
      <c r="D79" s="55">
        <v>0.26736111111111099</v>
      </c>
    </row>
    <row r="80" spans="4:4">
      <c r="D80" s="55">
        <v>0.27083333333333298</v>
      </c>
    </row>
    <row r="81" spans="4:4">
      <c r="D81" s="55">
        <v>0.27430555555555503</v>
      </c>
    </row>
    <row r="82" spans="4:4">
      <c r="D82" s="55">
        <v>0.27777777777777801</v>
      </c>
    </row>
    <row r="83" spans="4:4">
      <c r="D83" s="55">
        <v>0.28125</v>
      </c>
    </row>
    <row r="84" spans="4:4">
      <c r="D84" s="55">
        <v>0.28472222222222199</v>
      </c>
    </row>
    <row r="85" spans="4:4">
      <c r="D85" s="55">
        <v>0.28819444444444398</v>
      </c>
    </row>
    <row r="86" spans="4:4">
      <c r="D86" s="55">
        <v>0.29166666666666602</v>
      </c>
    </row>
    <row r="87" spans="4:4">
      <c r="D87" s="55">
        <v>0.29513888888888901</v>
      </c>
    </row>
    <row r="88" spans="4:4">
      <c r="D88" s="55">
        <v>0.29861111111111099</v>
      </c>
    </row>
    <row r="89" spans="4:4">
      <c r="D89" s="55">
        <v>0.30208333333333298</v>
      </c>
    </row>
    <row r="90" spans="4:4">
      <c r="D90" s="55">
        <v>0.30555555555555503</v>
      </c>
    </row>
    <row r="91" spans="4:4">
      <c r="D91" s="55">
        <v>0.30902777777777801</v>
      </c>
    </row>
    <row r="92" spans="4:4">
      <c r="D92" s="55">
        <v>0.3125</v>
      </c>
    </row>
    <row r="93" spans="4:4">
      <c r="D93" s="55">
        <v>0.31597222222222199</v>
      </c>
    </row>
    <row r="94" spans="4:4">
      <c r="D94" s="55">
        <v>0.31944444444444398</v>
      </c>
    </row>
    <row r="95" spans="4:4">
      <c r="D95" s="55">
        <v>0.32291666666666602</v>
      </c>
    </row>
    <row r="96" spans="4:4">
      <c r="D96" s="55">
        <v>0.32638888888888901</v>
      </c>
    </row>
    <row r="97" spans="4:4">
      <c r="D97" s="55">
        <v>0.32986111111111099</v>
      </c>
    </row>
    <row r="98" spans="4:4">
      <c r="D98" s="55">
        <v>0.33333333333333298</v>
      </c>
    </row>
    <row r="99" spans="4:4">
      <c r="D99" s="55">
        <v>0.33680555555555503</v>
      </c>
    </row>
    <row r="100" spans="4:4">
      <c r="D100" s="55">
        <v>0.34027777777777801</v>
      </c>
    </row>
    <row r="101" spans="4:4">
      <c r="D101" s="55">
        <v>0.34375</v>
      </c>
    </row>
    <row r="102" spans="4:4">
      <c r="D102" s="55">
        <v>0.34722222222222199</v>
      </c>
    </row>
    <row r="103" spans="4:4">
      <c r="D103" s="55">
        <v>0.35069444444444398</v>
      </c>
    </row>
    <row r="104" spans="4:4">
      <c r="D104" s="55">
        <v>0.35416666666666602</v>
      </c>
    </row>
    <row r="105" spans="4:4">
      <c r="D105" s="55">
        <v>0.35763888888888901</v>
      </c>
    </row>
    <row r="106" spans="4:4">
      <c r="D106" s="55">
        <v>0.36111111111111099</v>
      </c>
    </row>
    <row r="107" spans="4:4">
      <c r="D107" s="55">
        <v>0.36458333333333298</v>
      </c>
    </row>
    <row r="108" spans="4:4">
      <c r="D108" s="55">
        <v>0.36805555555555503</v>
      </c>
    </row>
    <row r="109" spans="4:4">
      <c r="D109" s="55">
        <v>0.37152777777777801</v>
      </c>
    </row>
    <row r="110" spans="4:4">
      <c r="D110" s="55">
        <v>0.375</v>
      </c>
    </row>
    <row r="111" spans="4:4">
      <c r="D111" s="55">
        <v>0.37847222222222199</v>
      </c>
    </row>
    <row r="112" spans="4:4">
      <c r="D112" s="55">
        <v>0.38194444444444398</v>
      </c>
    </row>
    <row r="113" spans="4:4">
      <c r="D113" s="55">
        <v>0.38541666666666602</v>
      </c>
    </row>
    <row r="114" spans="4:4">
      <c r="D114" s="55">
        <v>0.38888888888888901</v>
      </c>
    </row>
    <row r="115" spans="4:4">
      <c r="D115" s="55">
        <v>0.39236111111111099</v>
      </c>
    </row>
    <row r="116" spans="4:4">
      <c r="D116" s="55">
        <v>0.39583333333333298</v>
      </c>
    </row>
    <row r="117" spans="4:4">
      <c r="D117" s="55">
        <v>0.39930555555555503</v>
      </c>
    </row>
    <row r="118" spans="4:4">
      <c r="D118" s="55">
        <v>0.40277777777777801</v>
      </c>
    </row>
    <row r="119" spans="4:4">
      <c r="D119" s="55">
        <v>0.40625</v>
      </c>
    </row>
    <row r="120" spans="4:4">
      <c r="D120" s="55">
        <v>0.40972222222222199</v>
      </c>
    </row>
    <row r="121" spans="4:4">
      <c r="D121" s="55">
        <v>0.41319444444444398</v>
      </c>
    </row>
    <row r="122" spans="4:4">
      <c r="D122" s="55">
        <v>0.41666666666666602</v>
      </c>
    </row>
    <row r="123" spans="4:4">
      <c r="D123" s="55">
        <v>0.42013888888888901</v>
      </c>
    </row>
    <row r="124" spans="4:4">
      <c r="D124" s="55">
        <v>0.42361111111111099</v>
      </c>
    </row>
    <row r="125" spans="4:4">
      <c r="D125" s="55">
        <v>0.42708333333333298</v>
      </c>
    </row>
    <row r="126" spans="4:4">
      <c r="D126" s="55">
        <v>0.43055555555555503</v>
      </c>
    </row>
    <row r="127" spans="4:4">
      <c r="D127" s="55">
        <v>0.43402777777777801</v>
      </c>
    </row>
    <row r="128" spans="4:4">
      <c r="D128" s="55">
        <v>0.4375</v>
      </c>
    </row>
    <row r="129" spans="4:4">
      <c r="D129" s="55">
        <v>0.44097222222222199</v>
      </c>
    </row>
    <row r="130" spans="4:4">
      <c r="D130" s="55">
        <v>0.44444444444444398</v>
      </c>
    </row>
    <row r="131" spans="4:4">
      <c r="D131" s="55">
        <v>0.44791666666666602</v>
      </c>
    </row>
    <row r="132" spans="4:4">
      <c r="D132" s="55">
        <v>0.45138888888888901</v>
      </c>
    </row>
    <row r="133" spans="4:4">
      <c r="D133" s="55">
        <v>0.45486111111111099</v>
      </c>
    </row>
    <row r="134" spans="4:4">
      <c r="D134" s="55">
        <v>0.45833333333333298</v>
      </c>
    </row>
    <row r="135" spans="4:4">
      <c r="D135" s="55">
        <v>0.46180555555555503</v>
      </c>
    </row>
    <row r="136" spans="4:4">
      <c r="D136" s="55">
        <v>0.46527777777777801</v>
      </c>
    </row>
    <row r="137" spans="4:4">
      <c r="D137" s="55">
        <v>0.46875</v>
      </c>
    </row>
    <row r="138" spans="4:4">
      <c r="D138" s="55">
        <v>0.47222222222222199</v>
      </c>
    </row>
    <row r="139" spans="4:4">
      <c r="D139" s="55">
        <v>0.47569444444444398</v>
      </c>
    </row>
    <row r="140" spans="4:4">
      <c r="D140" s="55">
        <v>0.47916666666666602</v>
      </c>
    </row>
    <row r="141" spans="4:4">
      <c r="D141" s="55">
        <v>0.48263888888888901</v>
      </c>
    </row>
    <row r="142" spans="4:4">
      <c r="D142" s="55">
        <v>0.48611111111111099</v>
      </c>
    </row>
    <row r="143" spans="4:4">
      <c r="D143" s="55">
        <v>0.48958333333333298</v>
      </c>
    </row>
    <row r="144" spans="4:4">
      <c r="D144" s="55">
        <v>0.49305555555555503</v>
      </c>
    </row>
    <row r="145" spans="4:4">
      <c r="D145" s="55">
        <v>0.49652777777777801</v>
      </c>
    </row>
    <row r="146" spans="4:4">
      <c r="D146" s="55">
        <v>0.5</v>
      </c>
    </row>
    <row r="147" spans="4:4">
      <c r="D147" s="55">
        <v>0.50347222222222199</v>
      </c>
    </row>
    <row r="148" spans="4:4">
      <c r="D148" s="55">
        <v>0.50694444444444398</v>
      </c>
    </row>
    <row r="149" spans="4:4">
      <c r="D149" s="55">
        <v>0.51041666666666596</v>
      </c>
    </row>
    <row r="150" spans="4:4">
      <c r="D150" s="55">
        <v>0.51388888888888895</v>
      </c>
    </row>
    <row r="151" spans="4:4">
      <c r="D151" s="55">
        <v>0.51736111111111105</v>
      </c>
    </row>
    <row r="152" spans="4:4">
      <c r="D152" s="55">
        <v>0.52083333333333304</v>
      </c>
    </row>
    <row r="153" spans="4:4">
      <c r="D153" s="55">
        <v>0.52430555555555503</v>
      </c>
    </row>
    <row r="154" spans="4:4">
      <c r="D154" s="55">
        <v>0.52777777777777801</v>
      </c>
    </row>
    <row r="155" spans="4:4">
      <c r="D155" s="55">
        <v>0.53125</v>
      </c>
    </row>
    <row r="156" spans="4:4">
      <c r="D156" s="55">
        <v>0.53472222222222199</v>
      </c>
    </row>
    <row r="157" spans="4:4">
      <c r="D157" s="55">
        <v>0.53819444444444398</v>
      </c>
    </row>
    <row r="158" spans="4:4">
      <c r="D158" s="55">
        <v>0.54166666666666596</v>
      </c>
    </row>
    <row r="159" spans="4:4">
      <c r="D159" s="55">
        <v>0.54513888888888895</v>
      </c>
    </row>
    <row r="160" spans="4:4">
      <c r="D160" s="55">
        <v>0.54861111111111105</v>
      </c>
    </row>
    <row r="161" spans="4:4">
      <c r="D161" s="55">
        <v>0.55208333333333304</v>
      </c>
    </row>
    <row r="162" spans="4:4">
      <c r="D162" s="55">
        <v>0.55555555555555503</v>
      </c>
    </row>
    <row r="163" spans="4:4">
      <c r="D163" s="55">
        <v>0.55902777777777801</v>
      </c>
    </row>
    <row r="164" spans="4:4">
      <c r="D164" s="55">
        <v>0.5625</v>
      </c>
    </row>
    <row r="165" spans="4:4">
      <c r="D165" s="55">
        <v>0.56597222222222199</v>
      </c>
    </row>
    <row r="166" spans="4:4">
      <c r="D166" s="55">
        <v>0.56944444444444398</v>
      </c>
    </row>
    <row r="167" spans="4:4">
      <c r="D167" s="55">
        <v>0.57291666666666596</v>
      </c>
    </row>
    <row r="168" spans="4:4">
      <c r="D168" s="55">
        <v>0.57638888888888895</v>
      </c>
    </row>
    <row r="169" spans="4:4">
      <c r="D169" s="55">
        <v>0.57986111111111105</v>
      </c>
    </row>
    <row r="170" spans="4:4">
      <c r="D170" s="55">
        <v>0.58333333333333304</v>
      </c>
    </row>
    <row r="171" spans="4:4">
      <c r="D171" s="55">
        <v>0.58680555555555503</v>
      </c>
    </row>
    <row r="172" spans="4:4">
      <c r="D172" s="55">
        <v>0.59027777777777701</v>
      </c>
    </row>
    <row r="173" spans="4:4">
      <c r="D173" s="55">
        <v>0.59375</v>
      </c>
    </row>
    <row r="174" spans="4:4">
      <c r="D174" s="55">
        <v>0.59722222222222199</v>
      </c>
    </row>
    <row r="175" spans="4:4">
      <c r="D175" s="55">
        <v>0.60069444444444398</v>
      </c>
    </row>
    <row r="176" spans="4:4">
      <c r="D176" s="55">
        <v>0.60416666666666596</v>
      </c>
    </row>
    <row r="177" spans="4:4">
      <c r="D177" s="55">
        <v>0.60763888888888895</v>
      </c>
    </row>
    <row r="178" spans="4:4">
      <c r="D178" s="55">
        <v>0.61111111111111105</v>
      </c>
    </row>
    <row r="179" spans="4:4">
      <c r="D179" s="55">
        <v>0.61458333333333304</v>
      </c>
    </row>
    <row r="180" spans="4:4">
      <c r="D180" s="55">
        <v>0.61805555555555503</v>
      </c>
    </row>
    <row r="181" spans="4:4">
      <c r="D181" s="55">
        <v>0.62152777777777701</v>
      </c>
    </row>
    <row r="182" spans="4:4">
      <c r="D182" s="55">
        <v>0.625</v>
      </c>
    </row>
    <row r="183" spans="4:4">
      <c r="D183" s="55">
        <v>0.62847222222222199</v>
      </c>
    </row>
    <row r="184" spans="4:4">
      <c r="D184" s="55">
        <v>0.63194444444444398</v>
      </c>
    </row>
    <row r="185" spans="4:4">
      <c r="D185" s="55">
        <v>0.63541666666666596</v>
      </c>
    </row>
    <row r="186" spans="4:4">
      <c r="D186" s="55">
        <v>0.63888888888888895</v>
      </c>
    </row>
    <row r="187" spans="4:4">
      <c r="D187" s="55">
        <v>0.64236111111111105</v>
      </c>
    </row>
    <row r="188" spans="4:4">
      <c r="D188" s="55">
        <v>0.64583333333333304</v>
      </c>
    </row>
    <row r="189" spans="4:4">
      <c r="D189" s="55">
        <v>0.64930555555555503</v>
      </c>
    </row>
    <row r="190" spans="4:4">
      <c r="D190" s="55">
        <v>0.65277777777777701</v>
      </c>
    </row>
    <row r="191" spans="4:4">
      <c r="D191" s="55">
        <v>0.65625</v>
      </c>
    </row>
    <row r="192" spans="4:4">
      <c r="D192" s="55">
        <v>0.65972222222222199</v>
      </c>
    </row>
    <row r="193" spans="4:4">
      <c r="D193" s="55">
        <v>0.66319444444444398</v>
      </c>
    </row>
    <row r="194" spans="4:4">
      <c r="D194" s="55">
        <v>0.66666666666666596</v>
      </c>
    </row>
    <row r="195" spans="4:4">
      <c r="D195" s="55">
        <v>0.67013888888888895</v>
      </c>
    </row>
    <row r="196" spans="4:4">
      <c r="D196" s="55">
        <v>0.67361111111111105</v>
      </c>
    </row>
    <row r="197" spans="4:4">
      <c r="D197" s="55">
        <v>0.67708333333333304</v>
      </c>
    </row>
    <row r="198" spans="4:4">
      <c r="D198" s="55">
        <v>0.68055555555555503</v>
      </c>
    </row>
    <row r="199" spans="4:4">
      <c r="D199" s="55">
        <v>0.68402777777777701</v>
      </c>
    </row>
    <row r="200" spans="4:4">
      <c r="D200" s="55">
        <v>0.6875</v>
      </c>
    </row>
    <row r="201" spans="4:4">
      <c r="D201" s="55">
        <v>0.69097222222222199</v>
      </c>
    </row>
    <row r="202" spans="4:4">
      <c r="D202" s="55">
        <v>0.69444444444444398</v>
      </c>
    </row>
    <row r="203" spans="4:4">
      <c r="D203" s="55">
        <v>0.69791666666666596</v>
      </c>
    </row>
    <row r="204" spans="4:4">
      <c r="D204" s="55">
        <v>0.70138888888888895</v>
      </c>
    </row>
    <row r="205" spans="4:4">
      <c r="D205" s="55">
        <v>0.70486111111111105</v>
      </c>
    </row>
    <row r="206" spans="4:4">
      <c r="D206" s="55">
        <v>0.70833333333333304</v>
      </c>
    </row>
    <row r="207" spans="4:4">
      <c r="D207" s="55">
        <v>0.71180555555555503</v>
      </c>
    </row>
    <row r="208" spans="4:4">
      <c r="D208" s="55">
        <v>0.71527777777777701</v>
      </c>
    </row>
    <row r="209" spans="4:4">
      <c r="D209" s="55">
        <v>0.71875</v>
      </c>
    </row>
    <row r="210" spans="4:4">
      <c r="D210" s="55">
        <v>0.72222222222222199</v>
      </c>
    </row>
    <row r="211" spans="4:4">
      <c r="D211" s="55">
        <v>0.72569444444444398</v>
      </c>
    </row>
    <row r="212" spans="4:4">
      <c r="D212" s="55">
        <v>0.72916666666666596</v>
      </c>
    </row>
    <row r="213" spans="4:4">
      <c r="D213" s="55">
        <v>0.73263888888888895</v>
      </c>
    </row>
    <row r="214" spans="4:4">
      <c r="D214" s="55">
        <v>0.73611111111111105</v>
      </c>
    </row>
    <row r="215" spans="4:4">
      <c r="D215" s="55">
        <v>0.73958333333333304</v>
      </c>
    </row>
    <row r="216" spans="4:4">
      <c r="D216" s="55">
        <v>0.74305555555555503</v>
      </c>
    </row>
    <row r="217" spans="4:4">
      <c r="D217" s="55">
        <v>0.74652777777777701</v>
      </c>
    </row>
    <row r="218" spans="4:4">
      <c r="D218" s="55">
        <v>0.75</v>
      </c>
    </row>
    <row r="219" spans="4:4">
      <c r="D219" s="55">
        <v>0.75347222222222199</v>
      </c>
    </row>
    <row r="220" spans="4:4">
      <c r="D220" s="55">
        <v>0.75694444444444398</v>
      </c>
    </row>
    <row r="221" spans="4:4">
      <c r="D221" s="55">
        <v>0.76041666666666596</v>
      </c>
    </row>
    <row r="222" spans="4:4">
      <c r="D222" s="55">
        <v>0.76388888888888895</v>
      </c>
    </row>
    <row r="223" spans="4:4">
      <c r="D223" s="55">
        <v>0.76736111111111105</v>
      </c>
    </row>
    <row r="224" spans="4:4">
      <c r="D224" s="55">
        <v>0.77083333333333304</v>
      </c>
    </row>
    <row r="225" spans="4:4">
      <c r="D225" s="55">
        <v>0.77430555555555503</v>
      </c>
    </row>
    <row r="226" spans="4:4">
      <c r="D226" s="55">
        <v>0.77777777777777701</v>
      </c>
    </row>
    <row r="227" spans="4:4">
      <c r="D227" s="55">
        <v>0.78125</v>
      </c>
    </row>
    <row r="228" spans="4:4">
      <c r="D228" s="55">
        <v>0.78472222222222199</v>
      </c>
    </row>
    <row r="229" spans="4:4">
      <c r="D229" s="55">
        <v>0.78819444444444398</v>
      </c>
    </row>
    <row r="230" spans="4:4">
      <c r="D230" s="55">
        <v>0.79166666666666596</v>
      </c>
    </row>
    <row r="231" spans="4:4">
      <c r="D231" s="55">
        <v>0.79513888888888895</v>
      </c>
    </row>
    <row r="232" spans="4:4">
      <c r="D232" s="55">
        <v>0.79861111111111105</v>
      </c>
    </row>
    <row r="233" spans="4:4">
      <c r="D233" s="55">
        <v>0.80208333333333304</v>
      </c>
    </row>
    <row r="234" spans="4:4">
      <c r="D234" s="55">
        <v>0.80555555555555503</v>
      </c>
    </row>
    <row r="235" spans="4:4">
      <c r="D235" s="55">
        <v>0.80902777777777701</v>
      </c>
    </row>
    <row r="236" spans="4:4">
      <c r="D236" s="55">
        <v>0.8125</v>
      </c>
    </row>
    <row r="237" spans="4:4">
      <c r="D237" s="55">
        <v>0.81597222222222199</v>
      </c>
    </row>
    <row r="238" spans="4:4">
      <c r="D238" s="55">
        <v>0.81944444444444398</v>
      </c>
    </row>
    <row r="239" spans="4:4">
      <c r="D239" s="55">
        <v>0.82291666666666596</v>
      </c>
    </row>
    <row r="240" spans="4:4">
      <c r="D240" s="55">
        <v>0.82638888888888895</v>
      </c>
    </row>
    <row r="241" spans="4:4">
      <c r="D241" s="55">
        <v>0.82986111111111105</v>
      </c>
    </row>
    <row r="242" spans="4:4">
      <c r="D242" s="55">
        <v>0.83333333333333304</v>
      </c>
    </row>
  </sheetData>
  <sheetProtection sheet="1" objects="1" scenarios="1" formatColumns="0" formatRows="0"/>
  <phoneticPr fontId="1"/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計画管理表</vt:lpstr>
      <vt:lpstr>作業リスト</vt:lpstr>
      <vt:lpstr>使用方法</vt:lpstr>
      <vt:lpstr>プルダウンリスト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加藤 立登</dc:creator>
  <cp:lastModifiedBy>加藤 立登</cp:lastModifiedBy>
  <dcterms:created xsi:type="dcterms:W3CDTF">2019-05-22T06:30:47Z</dcterms:created>
  <dcterms:modified xsi:type="dcterms:W3CDTF">2019-05-27T02:34:03Z</dcterms:modified>
</cp:coreProperties>
</file>